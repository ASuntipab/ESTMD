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noom\PTT PSSR Online\"/>
    </mc:Choice>
  </mc:AlternateContent>
  <xr:revisionPtr revIDLastSave="0" documentId="13_ncr:1_{DA036F9C-554F-4092-843A-7042AB86C4E0}" xr6:coauthVersionLast="47" xr6:coauthVersionMax="47" xr10:uidLastSave="{00000000-0000-0000-0000-000000000000}"/>
  <bookViews>
    <workbookView xWindow="28680" yWindow="-120" windowWidth="38640" windowHeight="15720" tabRatio="500" xr2:uid="{00000000-000D-0000-FFFF-FFFF00000000}"/>
  </bookViews>
  <sheets>
    <sheet name="PTTDigital_Manday" sheetId="1" r:id="rId1"/>
    <sheet name="PSM-Platform (API)" sheetId="3" r:id="rId2"/>
    <sheet name="PSM-Platform (Frontend)" sheetId="2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69" i="1" l="1"/>
  <c r="H65" i="1"/>
  <c r="I65" i="1"/>
  <c r="G65" i="1"/>
  <c r="H63" i="1"/>
  <c r="I63" i="1"/>
  <c r="J63" i="1"/>
  <c r="G63" i="1"/>
  <c r="D24" i="2"/>
  <c r="G23" i="2"/>
  <c r="G22" i="2"/>
  <c r="G21" i="2"/>
  <c r="G20" i="2"/>
  <c r="G24" i="2" s="1"/>
  <c r="D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33" i="3" s="1"/>
</calcChain>
</file>

<file path=xl/sharedStrings.xml><?xml version="1.0" encoding="utf-8"?>
<sst xmlns="http://schemas.openxmlformats.org/spreadsheetml/2006/main" count="293" uniqueCount="197">
  <si>
    <t>โครงการ PTT-PSSR Online</t>
  </si>
  <si>
    <t>(ระยะเวลาโครงการ ……. วัน)</t>
  </si>
  <si>
    <t>Of2</t>
  </si>
  <si>
    <t>Of1</t>
  </si>
  <si>
    <t>Sr1</t>
  </si>
  <si>
    <t>Phase</t>
  </si>
  <si>
    <t>Details</t>
  </si>
  <si>
    <t>Due Date Plan</t>
  </si>
  <si>
    <t>Deliverables</t>
  </si>
  <si>
    <t>PM</t>
  </si>
  <si>
    <t>BA</t>
  </si>
  <si>
    <t>SA</t>
  </si>
  <si>
    <t>Tester</t>
  </si>
  <si>
    <t>ABAPer</t>
  </si>
  <si>
    <t>PI</t>
  </si>
  <si>
    <t>FI-AR</t>
  </si>
  <si>
    <t>Server</t>
  </si>
  <si>
    <t>DB</t>
  </si>
  <si>
    <t>Infra</t>
  </si>
  <si>
    <t>Security</t>
  </si>
  <si>
    <t>TC</t>
  </si>
  <si>
    <t>ManeetipC</t>
  </si>
  <si>
    <t>Name</t>
  </si>
  <si>
    <t>(Senior)</t>
  </si>
  <si>
    <t>Duangjai C</t>
  </si>
  <si>
    <t>WSO2 Panuwat.P</t>
  </si>
  <si>
    <t>Warinee.W</t>
  </si>
  <si>
    <t>Kornvipa.L</t>
  </si>
  <si>
    <t>Wongduen.N</t>
  </si>
  <si>
    <t>Thanakrit Yimyam</t>
  </si>
  <si>
    <t>Ariya K.</t>
  </si>
  <si>
    <t>Auth &amp;
Authorization</t>
  </si>
  <si>
    <t>Authentication &amp; Authorization</t>
  </si>
  <si>
    <t>Login</t>
  </si>
  <si>
    <t>Login พนักงาน ปตท. ผ่าน PTT Azure AD</t>
  </si>
  <si>
    <t>PTT CAA, Azure AD</t>
  </si>
  <si>
    <t>Login External User ผ่าน Azure B2C</t>
  </si>
  <si>
    <t>PTT CAA, Azure B2C</t>
  </si>
  <si>
    <t>Authentication ผ่าน PTT CAA</t>
  </si>
  <si>
    <t>PTT CAA</t>
  </si>
  <si>
    <t>Authorization</t>
  </si>
  <si>
    <t>CRUD กลุ่มผู้ใช้งาน / กำหนดสิทธิ์ตามเมนู</t>
  </si>
  <si>
    <t>กำหนดผู้อนุมัติตามประเภทงาน / พื้นที่</t>
  </si>
  <si>
    <t>PTT PIS</t>
  </si>
  <si>
    <t>แบบฟอร์ม
PSSR
Check List</t>
  </si>
  <si>
    <t>แบบฟอร์ม PSSR Check List</t>
  </si>
  <si>
    <t>ส่วนที่ 1 ข้อมูลของงาน (Requester)</t>
  </si>
  <si>
    <t>เลือกลักษณะของงาน 3 ประเภท
  1. Major Turnaround  2. โครงการก่อสร้าง  3. งานอื่นๆ</t>
  </si>
  <si>
    <t>เลือกพื้นที่โรงแยกก๊าซ (เลือกได้ 1 พื้นที่)</t>
  </si>
  <si>
    <t>ส่งขออนุมัติผู้ทบทวนเอกสาร</t>
  </si>
  <si>
    <t>เพิ่ม PSSR Leader (ระดับหัวหน้าหน่วยควบคุมผลิตขึ้นไป)</t>
  </si>
  <si>
    <t>เพิ่ม PSSR Member (อายุงาน 3 ปีขึ้นไป หรือได้รับอนุมัติ)</t>
  </si>
  <si>
    <t>ส่วนที่ 2 Before start up (ยอมรับไม่ได้)</t>
  </si>
  <si>
    <t>Requester: สร้างรายการที่ต้องดำเนินการ (เพิ่มได้ &gt; 1 รายการ)</t>
  </si>
  <si>
    <t>Requester: ระบุรายละเอียด / วันกำหนดแล้วเสร็จ / ผู้รับผิดชอบ (ค้นหาจากรหัสพนักงาน)</t>
  </si>
  <si>
    <t>Requester: เลือกผู้อนุมัติตามประเภทงาน / พื้นที่</t>
  </si>
  <si>
    <t>Requester: กำหนดผู้อนุมัติสำรอง (กรณีผู้อนุมัติหลักไม่สะดวก)</t>
  </si>
  <si>
    <t>PSSR Team: ดูรายละเอียดงาน / อัพเดท Status และรายละเอียด</t>
  </si>
  <si>
    <t>PSSR Team: แนบไฟล์ภาพประกอบ เพื่อปิดงาน</t>
  </si>
  <si>
    <t>ส่งขออนุมัติ Before start up
  (เมื่อผู้รับผิดชอบดำเนินการครบทุกรายการ)</t>
  </si>
  <si>
    <t>ส่วนที่ 3 After start up (ยอมรับได้)</t>
  </si>
  <si>
    <t>Requester: สร้างรายการ After start up
  (ระบุรายละเอียด / วันที่ / ผู้รับผิดชอบ)</t>
  </si>
  <si>
    <t>PSSR Team: อัพเดท Status (After start up)</t>
  </si>
  <si>
    <t>ส่งขออนุมัติ After start up (เมื่อครบทุกรายการ)</t>
  </si>
  <si>
    <t>ปิดงาน / Sign off (Requester Review และกรอกรายละเอียด)</t>
  </si>
  <si>
    <t>ฟังก์ชันร่วม (Requester &amp; PSSR Team)</t>
  </si>
  <si>
    <t>Print แบบฟอร์ม PSSR Check List
  (ข้อมูลงาน, Before start up, After start up)</t>
  </si>
  <si>
    <t>Print รายชื่อ PSSR Team เพื่อลงนาม</t>
  </si>
  <si>
    <t>History Log ของรายการ</t>
  </si>
  <si>
    <t>เมนู Admin</t>
  </si>
  <si>
    <t>บริหารจัดการกลุ่มผู้ใช้งาน (เพิ่ม / ลด สิทธิ์)</t>
  </si>
  <si>
    <t>บริหารจัดการผู้ใช้งาน</t>
  </si>
  <si>
    <t>บริหารจัดการสิทธิ์ตามเมนู</t>
  </si>
  <si>
    <t>บริหารจัดการลักษณะของงาน (Job Type)</t>
  </si>
  <si>
    <t>บริหารจัดการพื้นที่การทำงาน</t>
  </si>
  <si>
    <t>บริหารจัดการการตั้งค่าแจ้งเตือน</t>
  </si>
  <si>
    <t>เมนูตรวจสอบการส่งอีเมลจากระบบ</t>
  </si>
  <si>
    <t>บริหารจัดการข้อมูลบนแบบฟอร์ม</t>
  </si>
  <si>
    <t>การจัดเก็บ
ข้อมูล</t>
  </si>
  <si>
    <t>การจัดเก็บข้อมูล</t>
  </si>
  <si>
    <t>จัดเก็บข้อมูลย้อนหลัง 5 ปี</t>
  </si>
  <si>
    <t>Dashboard</t>
  </si>
  <si>
    <t>Advance Search (ค้นหาตามปี / พื้นที่ / ลักษณะงาน / ชื่อ)</t>
  </si>
  <si>
    <t>Export ข้อมูลรายการที่เลือก</t>
  </si>
  <si>
    <t>★ รวมทั้งหมด (MD)</t>
  </si>
  <si>
    <t xml:space="preserve"> </t>
  </si>
  <si>
    <t xml:space="preserve">Developer
 </t>
  </si>
  <si>
    <r>
      <t xml:space="preserve">การแจ้งเตือนผู้รับผิดชอบ Before start up
  (ล่วงหน้า 7, 3 วัน และวันกำหนด) </t>
    </r>
    <r>
      <rPr>
        <b/>
        <sz val="10"/>
        <color rgb="FF000000"/>
        <rFont val="Arial"/>
        <family val="2"/>
      </rPr>
      <t>job</t>
    </r>
  </si>
  <si>
    <r>
      <t xml:space="preserve">การแจ้งเตือนเมื่อเกินกำหนด (ทุก 3 วัน, CC: Leader, Requester) </t>
    </r>
    <r>
      <rPr>
        <b/>
        <sz val="10"/>
        <color rgb="FF000000"/>
        <rFont val="Arial"/>
        <family val="2"/>
      </rPr>
      <t>job</t>
    </r>
  </si>
  <si>
    <r>
      <t xml:space="preserve">การแจ้งเตือน PSSR Team
  (แจ้งเมื่ออัพเดทแต่ละรายการ / เมื่องานครบทุกรายการ) </t>
    </r>
    <r>
      <rPr>
        <b/>
        <sz val="10"/>
        <color rgb="FF000000"/>
        <rFont val="Arial"/>
        <family val="2"/>
      </rPr>
      <t>job</t>
    </r>
  </si>
  <si>
    <r>
      <t xml:space="preserve">การแจ้งเตือนผู้รับผิดชอบ After start up
  (ล่วงหน้า 7, 3 วัน และวันกำหนด) </t>
    </r>
    <r>
      <rPr>
        <b/>
        <sz val="10"/>
        <color rgb="FF000000"/>
        <rFont val="Arial"/>
        <family val="2"/>
      </rPr>
      <t>job</t>
    </r>
  </si>
  <si>
    <r>
      <t xml:space="preserve">การแจ้งเตือน PSSR Team After start up
  (แจ้งเมื่ออัพเดท / เมื่องานครบทุกรายการ) </t>
    </r>
    <r>
      <rPr>
        <b/>
        <sz val="10"/>
        <color rgb="FF000000"/>
        <rFont val="Arial"/>
        <family val="2"/>
      </rPr>
      <t>job</t>
    </r>
  </si>
  <si>
    <r>
      <t xml:space="preserve">ส่ง Email แจ้งผู้เกี่ยวข้องเมื่อ Sign off
  (ชื่องาน, พื้นที่, Before/After count, วันแล้วเสร็จ, Link) </t>
    </r>
    <r>
      <rPr>
        <b/>
        <sz val="10"/>
        <color rgb="FF000000"/>
        <rFont val="Arial"/>
        <family val="2"/>
      </rPr>
      <t>job</t>
    </r>
  </si>
  <si>
    <t>KPI: รายการที่ยังต้องแก้ไข ณ วันนี้
  (Outstanding Before/After start up items)</t>
  </si>
  <si>
    <t xml:space="preserve"> Chart: สรุป PSSR ตามลักษณะงาน
  (Major Turnaround / โครงการก่อสร้าง / อื่นๆ)</t>
  </si>
  <si>
    <t>Chart: สรุป PSSR ตามพื้นที่โรงแยกก๊าซ
  (จำนวน PSSR ปีปัจจุบัน แยกตามพื้นที่)</t>
  </si>
  <si>
    <r>
      <t xml:space="preserve">Archive ข้อมูลที่มีอายุมากกว่า 5 ปี (ปีละ 1 ครั้ง สิ้นปี) </t>
    </r>
    <r>
      <rPr>
        <b/>
        <sz val="10"/>
        <color rgb="FF000000"/>
        <rFont val="Arial"/>
        <family val="2"/>
      </rPr>
      <t>job</t>
    </r>
  </si>
  <si>
    <t>Coverity Security Report — PSM-Platform (API) — Snapshot 21761</t>
  </si>
  <si>
    <t>Snapshot ID</t>
  </si>
  <si>
    <t>Analysis Date</t>
  </si>
  <si>
    <t>Jun 23, 2026</t>
  </si>
  <si>
    <t>Lines of Code</t>
  </si>
  <si>
    <t>20,451</t>
  </si>
  <si>
    <t>Security Score</t>
  </si>
  <si>
    <t>50 / 90 (Target)  ❌ Fail</t>
  </si>
  <si>
    <t>OWASP Top 10 Issues</t>
  </si>
  <si>
    <t>26 (Target: 0)  ❌</t>
  </si>
  <si>
    <t>CWE/SANS Top 25</t>
  </si>
  <si>
    <t>42 (Target: 0)  ❌</t>
  </si>
  <si>
    <t>Issues By Severity</t>
  </si>
  <si>
    <t>Severity</t>
  </si>
  <si>
    <t>Count</t>
  </si>
  <si>
    <t>% of Total</t>
  </si>
  <si>
    <t>Very High</t>
  </si>
  <si>
    <t>82.2%</t>
  </si>
  <si>
    <t>High</t>
  </si>
  <si>
    <t>17.8%</t>
  </si>
  <si>
    <t>Medium</t>
  </si>
  <si>
    <t>0.0%</t>
  </si>
  <si>
    <t>Low</t>
  </si>
  <si>
    <t>Very Low</t>
  </si>
  <si>
    <t>Informational</t>
  </si>
  <si>
    <t>Total</t>
  </si>
  <si>
    <t>100%</t>
  </si>
  <si>
    <t>CWE</t>
  </si>
  <si>
    <t>CWE Name</t>
  </si>
  <si>
    <t>Issues</t>
  </si>
  <si>
    <t>Issue Type / Description</t>
  </si>
  <si>
    <t>Avg Min
per Issue</t>
  </si>
  <si>
    <t>Manday
(8h)</t>
  </si>
  <si>
    <t>Technical Impact</t>
  </si>
  <si>
    <t>CWE-22</t>
  </si>
  <si>
    <t>Path Traversal</t>
  </si>
  <si>
    <t>Filesystem path / URI manipulation — use whitelist input validation</t>
  </si>
  <si>
    <t>Execute unauthorized code</t>
  </si>
  <si>
    <t>CWE-915</t>
  </si>
  <si>
    <t>Mass Assignment</t>
  </si>
  <si>
    <t>Improperly Controlled Object Attributes — use DTO / whitelist allowed fields</t>
  </si>
  <si>
    <t>CWE-918</t>
  </si>
  <si>
    <t>Server-Side Request Forgery (SSRF)</t>
  </si>
  <si>
    <t>URL manipulation — validate and restrict outbound requests</t>
  </si>
  <si>
    <t>CWE-260</t>
  </si>
  <si>
    <t>Password in Configuration File</t>
  </si>
  <si>
    <t>Hardcoded credentials in source code — use secure vault / env vars</t>
  </si>
  <si>
    <t>Gain privileges</t>
  </si>
  <si>
    <t>CWE-330</t>
  </si>
  <si>
    <t>Use of Insufficiently Random Values</t>
  </si>
  <si>
    <t>Cryptographically weak PRNG — use CryptGenRandom / hw_rand()</t>
  </si>
  <si>
    <t>CWE-352</t>
  </si>
  <si>
    <t>Cross-Site Request Forgery (CSRF)</t>
  </si>
  <si>
    <t>Missing anti-CSRF token on state-changing endpoints</t>
  </si>
  <si>
    <t>CWE-749</t>
  </si>
  <si>
    <t>Exposed Dangerous Method or Function</t>
  </si>
  <si>
    <t>HTTP allowed-methods not restricted (e.g. DELETE/PUT exposed)</t>
  </si>
  <si>
    <t>CWE-759</t>
  </si>
  <si>
    <t>One-Way Hash without a Salt</t>
  </si>
  <si>
    <t>Password hashed without salt — use bcrypt/argon2</t>
  </si>
  <si>
    <t>CWE-89</t>
  </si>
  <si>
    <t>SQL Injection</t>
  </si>
  <si>
    <t>Non-constant SQL / string-concatenated query — use parameterized queries</t>
  </si>
  <si>
    <t>Bypass protection mechanism</t>
  </si>
  <si>
    <t>CWE-338</t>
  </si>
  <si>
    <t>Weak Pseudo-Random Number Generator</t>
  </si>
  <si>
    <t>Insecure PRNG in crypto context — use cryptographic RNG</t>
  </si>
  <si>
    <t>CWE-760</t>
  </si>
  <si>
    <t>One-Way Hash with Predictable Salt</t>
  </si>
  <si>
    <t>Password hashed with predictable salt — use random salt per-password</t>
  </si>
  <si>
    <t>CWE-561</t>
  </si>
  <si>
    <t>Dead Code</t>
  </si>
  <si>
    <t>Constant variable guards unreachable code — remove dead code</t>
  </si>
  <si>
    <t>Denial of service, unreliable execution</t>
  </si>
  <si>
    <t>CWE-99</t>
  </si>
  <si>
    <t>Resource Injection</t>
  </si>
  <si>
    <t>URL/Resource identifier injection — validate resource identifiers</t>
  </si>
  <si>
    <t>Modify data</t>
  </si>
  <si>
    <t>Coverity Security Report — PSM-Platform-Frontend — Snapshot 21769</t>
  </si>
  <si>
    <t>51,643</t>
  </si>
  <si>
    <t>58 / 90 (Target)  ❌ Fail</t>
  </si>
  <si>
    <t>3 (Target: 0)  ❌</t>
  </si>
  <si>
    <t>7 (Target: 0)  ❌</t>
  </si>
  <si>
    <t>58.3%</t>
  </si>
  <si>
    <t>41.7%</t>
  </si>
  <si>
    <t>CWE-476</t>
  </si>
  <si>
    <t>NULL Pointer Dereference</t>
  </si>
  <si>
    <t>Bad use of null-like value — add null checks before dereference</t>
  </si>
  <si>
    <t>CWE-79</t>
  </si>
  <si>
    <t>Cross-Site Scripting (XSS)</t>
  </si>
  <si>
    <t>DOM-based XSS — sanitize user-controlled input before DOM insertion</t>
  </si>
  <si>
    <t>CWE-688</t>
  </si>
  <si>
    <t>Function Call With Incorrect Variable</t>
  </si>
  <si>
    <t>Typo in identifier / wrong argument type — code review &amp; type checking</t>
  </si>
  <si>
    <t>CWE-922</t>
  </si>
  <si>
    <t>Insecure Storage of Sensitive Information</t>
  </si>
  <si>
    <t>Sensitive data written to localStorage — use sessionStorage or server session</t>
  </si>
  <si>
    <t>Coverity</t>
  </si>
  <si>
    <t>Coverity API</t>
  </si>
  <si>
    <t>Coverity FrontEnd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</si>
</sst>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87" formatCode="0.0"/>
  </numFmts>
  <fonts count="27" x14ac:knownFonts="1">
    <font>
      <sz val="11"/>
      <color theme="1"/>
      <name val="Calibri"/>
      <family val="2"/>
      <charset val="1"/>
    </font>
    <font>
      <b/>
      <sz val="11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b/>
      <sz val="10"/>
      <color rgb="FF000000"/>
      <name val="Arial"/>
      <charset val="1"/>
    </font>
    <font>
      <i/>
      <sz val="9"/>
      <name val="Arial"/>
      <charset val="1"/>
    </font>
    <font>
      <sz val="10"/>
      <color rgb="FF000000"/>
      <name val="Arial"/>
      <charset val="1"/>
    </font>
    <font>
      <b/>
      <sz val="10"/>
      <color rgb="FFFF0000"/>
      <name val="Arial"/>
      <charset val="1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0"/>
      <color rgb="FF0070C0"/>
      <name val="Arial"/>
      <family val="2"/>
    </font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sz val="10"/>
      <color rgb="FFFF0000"/>
      <name val="Arial"/>
      <charset val="1"/>
    </font>
    <font>
      <b/>
      <sz val="10"/>
      <color rgb="FFE26B0A"/>
      <name val="Arial"/>
      <charset val="1"/>
    </font>
    <font>
      <sz val="10"/>
      <color rgb="FFE26B0A"/>
      <name val="Arial"/>
      <charset val="1"/>
    </font>
    <font>
      <b/>
      <sz val="10"/>
      <color rgb="FF7F6000"/>
      <name val="Arial"/>
      <charset val="1"/>
    </font>
    <font>
      <sz val="10"/>
      <color rgb="FF7F6000"/>
      <name val="Arial"/>
      <charset val="1"/>
    </font>
    <font>
      <b/>
      <sz val="10"/>
      <color rgb="FF375623"/>
      <name val="Arial"/>
      <charset val="1"/>
    </font>
    <font>
      <sz val="10"/>
      <color rgb="FF375623"/>
      <name val="Arial"/>
      <charset val="1"/>
    </font>
    <font>
      <b/>
      <sz val="10"/>
      <color rgb="FF595959"/>
      <name val="Arial"/>
      <charset val="1"/>
    </font>
    <font>
      <sz val="10"/>
      <color rgb="FF595959"/>
      <name val="Arial"/>
      <charset val="1"/>
    </font>
    <font>
      <sz val="9"/>
      <name val="Arial"/>
      <charset val="1"/>
    </font>
    <font>
      <b/>
      <sz val="10"/>
      <color rgb="FF0000FF"/>
      <name val="Arial"/>
      <charset val="1"/>
    </font>
    <font>
      <b/>
      <sz val="28"/>
      <color rgb="FFFF000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17375E"/>
        <bgColor rgb="FF333333"/>
      </patternFill>
    </fill>
    <fill>
      <patternFill patternType="solid">
        <fgColor rgb="FF0070C0"/>
        <bgColor rgb="FF008080"/>
      </patternFill>
    </fill>
    <fill>
      <patternFill patternType="solid">
        <fgColor rgb="FFDCE6F1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DCE6F1"/>
      </patternFill>
    </fill>
    <fill>
      <patternFill patternType="solid">
        <fgColor rgb="FFFFF2CC"/>
        <bgColor rgb="FFF2F2F2"/>
      </patternFill>
    </fill>
    <fill>
      <patternFill patternType="solid">
        <fgColor rgb="FF1F497D"/>
        <bgColor rgb="FF003366"/>
      </patternFill>
    </fill>
    <fill>
      <patternFill patternType="solid">
        <fgColor rgb="FFD9D9D9"/>
        <bgColor rgb="FFE2EFDA"/>
      </patternFill>
    </fill>
    <fill>
      <patternFill patternType="solid">
        <fgColor rgb="FF404040"/>
        <bgColor rgb="FF375623"/>
      </patternFill>
    </fill>
    <fill>
      <patternFill patternType="solid">
        <fgColor rgb="FFFFC7CE"/>
        <bgColor rgb="FFD9D9D9"/>
      </patternFill>
    </fill>
    <fill>
      <patternFill patternType="solid">
        <fgColor rgb="FFFFEB9C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D9D9D9"/>
      </patternFill>
    </fill>
    <fill>
      <patternFill patternType="solid">
        <fgColor theme="6" tint="0.59999389629810485"/>
        <bgColor rgb="FFE2EFDA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3" fillId="0" borderId="0" applyFont="0" applyFill="0" applyBorder="0" applyAlignment="0" applyProtection="0"/>
  </cellStyleXfs>
  <cellXfs count="60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1" fillId="0" borderId="0" xfId="0" applyFont="1"/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left" vertical="top" wrapText="1"/>
    </xf>
    <xf numFmtId="0" fontId="6" fillId="5" borderId="2" xfId="0" applyFont="1" applyFill="1" applyBorder="1"/>
    <xf numFmtId="0" fontId="0" fillId="0" borderId="2" xfId="0" applyBorder="1"/>
    <xf numFmtId="0" fontId="2" fillId="5" borderId="2" xfId="0" applyFont="1" applyFill="1" applyBorder="1" applyAlignment="1">
      <alignment horizontal="center" vertical="center"/>
    </xf>
    <xf numFmtId="0" fontId="0" fillId="5" borderId="2" xfId="0" applyFill="1" applyBorder="1"/>
    <xf numFmtId="0" fontId="5" fillId="6" borderId="2" xfId="0" applyFont="1" applyFill="1" applyBorder="1" applyAlignment="1">
      <alignment horizontal="left" vertical="top" wrapText="1"/>
    </xf>
    <xf numFmtId="0" fontId="6" fillId="0" borderId="2" xfId="0" applyFont="1" applyBorder="1"/>
    <xf numFmtId="0" fontId="2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187" fontId="2" fillId="0" borderId="2" xfId="0" applyNumberFormat="1" applyFont="1" applyBorder="1" applyAlignment="1">
      <alignment horizontal="center" vertical="center"/>
    </xf>
    <xf numFmtId="0" fontId="6" fillId="7" borderId="2" xfId="0" applyFont="1" applyFill="1" applyBorder="1"/>
    <xf numFmtId="0" fontId="0" fillId="7" borderId="2" xfId="0" applyFill="1" applyBorder="1"/>
    <xf numFmtId="187" fontId="4" fillId="7" borderId="2" xfId="0" applyNumberFormat="1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187" fontId="11" fillId="0" borderId="2" xfId="0" applyNumberFormat="1" applyFont="1" applyBorder="1" applyAlignment="1">
      <alignment horizontal="center" vertical="center"/>
    </xf>
    <xf numFmtId="0" fontId="12" fillId="8" borderId="2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14" fillId="9" borderId="0" xfId="0" applyFont="1" applyFill="1" applyAlignment="1">
      <alignment horizontal="center" vertical="center" wrapText="1"/>
    </xf>
    <xf numFmtId="0" fontId="4" fillId="10" borderId="2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3" fillId="9" borderId="0" xfId="0" applyFont="1" applyFill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8" fillId="12" borderId="2" xfId="0" applyFont="1" applyFill="1" applyBorder="1" applyAlignment="1">
      <alignment horizontal="center" vertical="center" wrapText="1"/>
    </xf>
    <xf numFmtId="0" fontId="15" fillId="12" borderId="2" xfId="0" applyFont="1" applyFill="1" applyBorder="1" applyAlignment="1">
      <alignment horizontal="center" vertical="center" wrapText="1"/>
    </xf>
    <xf numFmtId="0" fontId="16" fillId="13" borderId="2" xfId="0" applyFont="1" applyFill="1" applyBorder="1" applyAlignment="1">
      <alignment horizontal="center" vertical="center" wrapText="1"/>
    </xf>
    <xf numFmtId="0" fontId="17" fillId="13" borderId="2" xfId="0" applyFont="1" applyFill="1" applyBorder="1" applyAlignment="1">
      <alignment horizontal="center" vertical="center" wrapText="1"/>
    </xf>
    <xf numFmtId="0" fontId="18" fillId="14" borderId="2" xfId="0" applyFont="1" applyFill="1" applyBorder="1" applyAlignment="1">
      <alignment horizontal="center" vertical="center" wrapText="1"/>
    </xf>
    <xf numFmtId="0" fontId="19" fillId="14" borderId="2" xfId="0" applyFont="1" applyFill="1" applyBorder="1" applyAlignment="1">
      <alignment horizontal="center" vertical="center" wrapText="1"/>
    </xf>
    <xf numFmtId="0" fontId="20" fillId="15" borderId="2" xfId="0" applyFont="1" applyFill="1" applyBorder="1" applyAlignment="1">
      <alignment horizontal="center" vertical="center" wrapText="1"/>
    </xf>
    <xf numFmtId="0" fontId="21" fillId="15" borderId="2" xfId="0" applyFont="1" applyFill="1" applyBorder="1" applyAlignment="1">
      <alignment horizontal="center" vertical="center" wrapText="1"/>
    </xf>
    <xf numFmtId="0" fontId="22" fillId="10" borderId="2" xfId="0" applyFont="1" applyFill="1" applyBorder="1" applyAlignment="1">
      <alignment horizontal="center" vertical="center" wrapText="1"/>
    </xf>
    <xf numFmtId="0" fontId="23" fillId="10" borderId="2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left" vertical="top" wrapText="1"/>
    </xf>
    <xf numFmtId="0" fontId="8" fillId="12" borderId="2" xfId="0" applyFont="1" applyFill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187" fontId="2" fillId="0" borderId="2" xfId="0" applyNumberFormat="1" applyFont="1" applyBorder="1" applyAlignment="1">
      <alignment horizontal="center" vertical="top" wrapText="1"/>
    </xf>
    <xf numFmtId="0" fontId="24" fillId="0" borderId="2" xfId="0" applyFont="1" applyBorder="1" applyAlignment="1">
      <alignment horizontal="left" vertical="top" wrapText="1"/>
    </xf>
    <xf numFmtId="0" fontId="16" fillId="13" borderId="2" xfId="0" applyFont="1" applyFill="1" applyBorder="1" applyAlignment="1">
      <alignment horizontal="center" vertical="top" wrapText="1"/>
    </xf>
    <xf numFmtId="0" fontId="0" fillId="10" borderId="1" xfId="0" applyFill="1" applyBorder="1"/>
    <xf numFmtId="187" fontId="25" fillId="10" borderId="1" xfId="0" applyNumberFormat="1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16" borderId="2" xfId="0" applyFont="1" applyFill="1" applyBorder="1" applyAlignment="1">
      <alignment vertical="center" wrapText="1"/>
    </xf>
    <xf numFmtId="43" fontId="0" fillId="0" borderId="0" xfId="1" applyFont="1"/>
    <xf numFmtId="43" fontId="0" fillId="0" borderId="0" xfId="0" applyNumberFormat="1"/>
    <xf numFmtId="43" fontId="26" fillId="17" borderId="0" xfId="0" applyNumberFormat="1" applyFont="1" applyFill="1" applyAlignment="1">
      <alignment horizontal="center"/>
    </xf>
    <xf numFmtId="0" fontId="26" fillId="17" borderId="0" xfId="0" applyFont="1" applyFill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CE6F1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75E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0"/>
  <sheetViews>
    <sheetView tabSelected="1" zoomScaleNormal="100" workbookViewId="0">
      <pane xSplit="1" ySplit="4" topLeftCell="B56" activePane="bottomRight" state="frozen"/>
      <selection pane="topRight" activeCell="B1" sqref="B1"/>
      <selection pane="bottomLeft" activeCell="A5" sqref="A5"/>
      <selection pane="bottomRight" activeCell="I25" sqref="I25"/>
    </sheetView>
  </sheetViews>
  <sheetFormatPr defaultColWidth="8.6640625" defaultRowHeight="14.4" x14ac:dyDescent="0.3"/>
  <cols>
    <col min="1" max="1" width="14.6640625" customWidth="1"/>
    <col min="2" max="2" width="44" customWidth="1"/>
    <col min="3" max="3" width="12" customWidth="1"/>
    <col min="4" max="4" width="18" customWidth="1"/>
    <col min="5" max="5" width="11.44140625" customWidth="1"/>
    <col min="6" max="6" width="11.33203125" customWidth="1"/>
    <col min="7" max="7" width="12.33203125" customWidth="1"/>
    <col min="8" max="8" width="11.109375" customWidth="1"/>
    <col min="9" max="9" width="12.88671875" customWidth="1"/>
    <col min="10" max="19" width="7" customWidth="1"/>
  </cols>
  <sheetData>
    <row r="1" spans="1:19" ht="18" customHeight="1" x14ac:dyDescent="0.3">
      <c r="A1" s="2" t="s">
        <v>0</v>
      </c>
    </row>
    <row r="2" spans="1:19" ht="15" customHeight="1" x14ac:dyDescent="0.3">
      <c r="A2" s="2" t="s">
        <v>1</v>
      </c>
      <c r="E2" s="3" t="s">
        <v>2</v>
      </c>
      <c r="F2" s="3" t="s">
        <v>2</v>
      </c>
      <c r="G2" s="3" t="s">
        <v>3</v>
      </c>
      <c r="H2" s="3"/>
      <c r="I2" s="3" t="s">
        <v>3</v>
      </c>
      <c r="J2" s="3" t="s">
        <v>3</v>
      </c>
      <c r="K2" s="4" t="s">
        <v>4</v>
      </c>
      <c r="L2" s="4" t="s">
        <v>3</v>
      </c>
      <c r="M2" s="4" t="s">
        <v>4</v>
      </c>
      <c r="N2" s="4" t="s">
        <v>3</v>
      </c>
      <c r="O2" s="4" t="s">
        <v>4</v>
      </c>
      <c r="P2" s="4" t="s">
        <v>2</v>
      </c>
      <c r="Q2" s="3" t="s">
        <v>2</v>
      </c>
      <c r="R2" s="3" t="s">
        <v>3</v>
      </c>
      <c r="S2" s="3" t="s">
        <v>4</v>
      </c>
    </row>
    <row r="3" spans="1:19" ht="30" customHeight="1" x14ac:dyDescent="0.3">
      <c r="A3" s="24" t="s">
        <v>5</v>
      </c>
      <c r="B3" s="24" t="s">
        <v>6</v>
      </c>
      <c r="C3" s="24" t="s">
        <v>7</v>
      </c>
      <c r="D3" s="24" t="s">
        <v>8</v>
      </c>
      <c r="E3" s="1" t="s">
        <v>9</v>
      </c>
      <c r="F3" s="1" t="s">
        <v>10</v>
      </c>
      <c r="G3" s="1" t="s">
        <v>11</v>
      </c>
      <c r="H3" s="1" t="s">
        <v>86</v>
      </c>
      <c r="I3" s="5" t="s">
        <v>86</v>
      </c>
      <c r="J3" s="5" t="s">
        <v>12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17</v>
      </c>
      <c r="Q3" s="1" t="s">
        <v>18</v>
      </c>
      <c r="R3" s="1" t="s">
        <v>19</v>
      </c>
      <c r="S3" s="1" t="s">
        <v>20</v>
      </c>
    </row>
    <row r="4" spans="1:19" ht="39" customHeight="1" x14ac:dyDescent="0.3">
      <c r="A4" s="24"/>
      <c r="B4" s="24"/>
      <c r="C4" s="24"/>
      <c r="D4" s="24"/>
      <c r="E4" s="1" t="s">
        <v>21</v>
      </c>
      <c r="F4" s="1" t="s">
        <v>21</v>
      </c>
      <c r="G4" s="1" t="s">
        <v>22</v>
      </c>
      <c r="H4" s="1" t="s">
        <v>23</v>
      </c>
      <c r="I4" s="5" t="s">
        <v>22</v>
      </c>
      <c r="J4" s="5" t="s">
        <v>22</v>
      </c>
      <c r="K4" s="1" t="s">
        <v>24</v>
      </c>
      <c r="L4" s="1" t="s">
        <v>25</v>
      </c>
      <c r="M4" s="1" t="s">
        <v>26</v>
      </c>
      <c r="O4" s="1" t="s">
        <v>27</v>
      </c>
      <c r="P4" s="1" t="s">
        <v>28</v>
      </c>
      <c r="Q4" s="1" t="s">
        <v>29</v>
      </c>
      <c r="R4" s="1" t="s">
        <v>22</v>
      </c>
      <c r="S4" s="1" t="s">
        <v>30</v>
      </c>
    </row>
    <row r="5" spans="1:19" ht="15" customHeight="1" x14ac:dyDescent="0.3">
      <c r="A5" s="51" t="s">
        <v>31</v>
      </c>
      <c r="B5" s="6" t="s">
        <v>32</v>
      </c>
      <c r="C5" s="7"/>
      <c r="D5" s="7"/>
      <c r="E5" s="8"/>
      <c r="F5" s="8"/>
      <c r="G5" s="9"/>
      <c r="H5" s="9"/>
      <c r="I5" s="9"/>
      <c r="J5" s="9"/>
      <c r="K5" s="10"/>
      <c r="L5" s="10"/>
      <c r="M5" s="10"/>
      <c r="N5" s="10"/>
      <c r="O5" s="10"/>
      <c r="P5" s="10"/>
      <c r="Q5" s="10"/>
      <c r="R5" s="10"/>
      <c r="S5" s="10"/>
    </row>
    <row r="6" spans="1:19" ht="15" customHeight="1" x14ac:dyDescent="0.3">
      <c r="A6" s="51"/>
      <c r="B6" s="11" t="s">
        <v>33</v>
      </c>
      <c r="C6" s="12"/>
      <c r="D6" s="12"/>
      <c r="E6" s="8"/>
      <c r="F6" s="8"/>
      <c r="G6" s="13">
        <v>1</v>
      </c>
      <c r="H6" s="13">
        <v>2</v>
      </c>
      <c r="I6" s="13">
        <v>3</v>
      </c>
      <c r="J6" s="13"/>
      <c r="K6" s="8"/>
      <c r="L6" s="8"/>
      <c r="M6" s="8"/>
      <c r="N6" s="8"/>
      <c r="O6" s="8"/>
      <c r="P6" s="8"/>
      <c r="Q6" s="8"/>
      <c r="R6" s="8"/>
      <c r="S6" s="8"/>
    </row>
    <row r="7" spans="1:19" ht="15" customHeight="1" x14ac:dyDescent="0.3">
      <c r="A7" s="51"/>
      <c r="B7" s="14" t="s">
        <v>34</v>
      </c>
      <c r="C7" s="12"/>
      <c r="D7" s="15" t="s">
        <v>35</v>
      </c>
      <c r="E7" s="8"/>
      <c r="F7" s="8"/>
      <c r="G7" s="16" t="s">
        <v>85</v>
      </c>
      <c r="H7" s="16"/>
      <c r="I7" s="16"/>
      <c r="J7" s="16"/>
      <c r="K7" s="8"/>
      <c r="L7" s="8"/>
      <c r="M7" s="8"/>
      <c r="N7" s="8"/>
      <c r="O7" s="8"/>
      <c r="P7" s="8"/>
      <c r="Q7" s="8"/>
      <c r="R7" s="8"/>
      <c r="S7" s="8"/>
    </row>
    <row r="8" spans="1:19" ht="15" customHeight="1" x14ac:dyDescent="0.3">
      <c r="A8" s="51"/>
      <c r="B8" s="14" t="s">
        <v>36</v>
      </c>
      <c r="C8" s="12"/>
      <c r="D8" s="15" t="s">
        <v>37</v>
      </c>
      <c r="E8" s="8"/>
      <c r="F8" s="8"/>
      <c r="G8" s="16"/>
      <c r="H8" s="16"/>
      <c r="I8" s="16"/>
      <c r="J8" s="16"/>
      <c r="K8" s="8"/>
      <c r="L8" s="8"/>
      <c r="M8" s="8"/>
      <c r="N8" s="8"/>
      <c r="O8" s="8"/>
      <c r="P8" s="8"/>
      <c r="Q8" s="8"/>
      <c r="R8" s="8"/>
      <c r="S8" s="8"/>
    </row>
    <row r="9" spans="1:19" ht="15" customHeight="1" x14ac:dyDescent="0.3">
      <c r="A9" s="51"/>
      <c r="B9" s="14" t="s">
        <v>38</v>
      </c>
      <c r="C9" s="12"/>
      <c r="D9" s="15" t="s">
        <v>39</v>
      </c>
      <c r="E9" s="8"/>
      <c r="F9" s="8"/>
      <c r="G9" s="16"/>
      <c r="H9" s="16"/>
      <c r="I9" s="13"/>
      <c r="J9" s="16"/>
      <c r="K9" s="8"/>
      <c r="L9" s="8"/>
      <c r="M9" s="8"/>
      <c r="N9" s="8"/>
      <c r="O9" s="8"/>
      <c r="P9" s="8"/>
      <c r="Q9" s="8"/>
      <c r="R9" s="8"/>
      <c r="S9" s="8"/>
    </row>
    <row r="10" spans="1:19" ht="15" customHeight="1" x14ac:dyDescent="0.3">
      <c r="A10" s="51"/>
      <c r="B10" s="11" t="s">
        <v>40</v>
      </c>
      <c r="C10" s="12"/>
      <c r="D10" s="12"/>
      <c r="E10" s="8"/>
      <c r="F10" s="8"/>
      <c r="G10" s="13"/>
      <c r="H10" s="13">
        <v>3</v>
      </c>
      <c r="I10" s="13">
        <v>3</v>
      </c>
      <c r="J10" s="13"/>
      <c r="K10" s="8"/>
      <c r="L10" s="8"/>
      <c r="M10" s="8"/>
      <c r="N10" s="8"/>
      <c r="O10" s="8"/>
      <c r="P10" s="8"/>
      <c r="Q10" s="8"/>
      <c r="R10" s="8"/>
      <c r="S10" s="8"/>
    </row>
    <row r="11" spans="1:19" ht="15" customHeight="1" x14ac:dyDescent="0.3">
      <c r="A11" s="51"/>
      <c r="B11" s="14" t="s">
        <v>41</v>
      </c>
      <c r="C11" s="12"/>
      <c r="D11" s="12"/>
      <c r="E11" s="8"/>
      <c r="F11" s="8"/>
      <c r="G11" s="16"/>
      <c r="H11" s="16"/>
      <c r="I11" s="16"/>
      <c r="J11" s="16"/>
      <c r="K11" s="8"/>
      <c r="L11" s="8"/>
      <c r="M11" s="8"/>
      <c r="N11" s="8"/>
      <c r="O11" s="8"/>
      <c r="P11" s="8"/>
      <c r="Q11" s="8"/>
      <c r="R11" s="8"/>
      <c r="S11" s="8"/>
    </row>
    <row r="12" spans="1:19" ht="15" customHeight="1" x14ac:dyDescent="0.3">
      <c r="A12" s="51"/>
      <c r="B12" s="14" t="s">
        <v>42</v>
      </c>
      <c r="C12" s="12"/>
      <c r="D12" s="15" t="s">
        <v>43</v>
      </c>
      <c r="E12" s="8"/>
      <c r="F12" s="8"/>
      <c r="G12" s="16"/>
      <c r="H12" s="16"/>
      <c r="I12" s="16"/>
      <c r="J12" s="16"/>
      <c r="K12" s="8"/>
      <c r="L12" s="8"/>
      <c r="M12" s="8"/>
      <c r="N12" s="8"/>
      <c r="O12" s="8"/>
      <c r="P12" s="8"/>
      <c r="Q12" s="8"/>
      <c r="R12" s="8"/>
      <c r="S12" s="8"/>
    </row>
    <row r="13" spans="1:19" ht="15" customHeight="1" x14ac:dyDescent="0.3">
      <c r="A13" s="51" t="s">
        <v>44</v>
      </c>
      <c r="B13" s="6" t="s">
        <v>45</v>
      </c>
      <c r="C13" s="7"/>
      <c r="D13" s="7"/>
      <c r="E13" s="8"/>
      <c r="F13" s="8"/>
      <c r="G13" s="9"/>
      <c r="H13" s="9"/>
      <c r="I13" s="9"/>
      <c r="J13" s="9"/>
      <c r="K13" s="10"/>
      <c r="L13" s="10"/>
      <c r="M13" s="10"/>
      <c r="N13" s="10"/>
      <c r="O13" s="10"/>
      <c r="P13" s="10"/>
      <c r="Q13" s="10"/>
      <c r="R13" s="10"/>
      <c r="S13" s="10"/>
    </row>
    <row r="14" spans="1:19" ht="15" customHeight="1" x14ac:dyDescent="0.3">
      <c r="A14" s="51"/>
      <c r="B14" s="11" t="s">
        <v>46</v>
      </c>
      <c r="C14" s="12"/>
      <c r="D14" s="12"/>
      <c r="E14" s="8"/>
      <c r="F14" s="8"/>
      <c r="G14" s="13">
        <v>3</v>
      </c>
      <c r="H14" s="13">
        <v>3</v>
      </c>
      <c r="I14" s="13"/>
      <c r="J14" s="13"/>
      <c r="K14" s="8"/>
      <c r="L14" s="8"/>
      <c r="M14" s="8"/>
      <c r="N14" s="8"/>
      <c r="O14" s="8"/>
      <c r="P14" s="8"/>
      <c r="Q14" s="8"/>
      <c r="R14" s="8"/>
      <c r="S14" s="8"/>
    </row>
    <row r="15" spans="1:19" ht="30" customHeight="1" x14ac:dyDescent="0.3">
      <c r="A15" s="51"/>
      <c r="B15" s="14" t="s">
        <v>47</v>
      </c>
      <c r="C15" s="12"/>
      <c r="D15" s="12"/>
      <c r="E15" s="8"/>
      <c r="F15" s="8"/>
      <c r="G15" s="16"/>
      <c r="H15" s="16"/>
      <c r="I15" s="16">
        <v>3</v>
      </c>
      <c r="J15" s="16"/>
      <c r="K15" s="8"/>
      <c r="L15" s="8"/>
      <c r="M15" s="8"/>
      <c r="N15" s="8"/>
      <c r="O15" s="8"/>
      <c r="P15" s="8"/>
      <c r="Q15" s="8"/>
      <c r="R15" s="8"/>
      <c r="S15" s="8"/>
    </row>
    <row r="16" spans="1:19" ht="15" customHeight="1" x14ac:dyDescent="0.3">
      <c r="A16" s="51"/>
      <c r="B16" s="14" t="s">
        <v>48</v>
      </c>
      <c r="C16" s="12"/>
      <c r="D16" s="12"/>
      <c r="E16" s="8"/>
      <c r="F16" s="8"/>
      <c r="G16" s="16"/>
      <c r="H16" s="16"/>
      <c r="I16" s="16">
        <v>1</v>
      </c>
      <c r="J16" s="16"/>
      <c r="K16" s="8"/>
      <c r="L16" s="8"/>
      <c r="M16" s="8"/>
      <c r="N16" s="8"/>
      <c r="O16" s="8"/>
      <c r="P16" s="8"/>
      <c r="Q16" s="8"/>
      <c r="R16" s="8"/>
      <c r="S16" s="8"/>
    </row>
    <row r="17" spans="1:19" ht="15" customHeight="1" x14ac:dyDescent="0.3">
      <c r="A17" s="51"/>
      <c r="B17" s="14" t="s">
        <v>49</v>
      </c>
      <c r="C17" s="12"/>
      <c r="D17" s="12"/>
      <c r="E17" s="8"/>
      <c r="F17" s="8"/>
      <c r="G17" s="16"/>
      <c r="H17" s="16"/>
      <c r="I17" s="16">
        <v>1</v>
      </c>
      <c r="J17" s="16"/>
      <c r="K17" s="8"/>
      <c r="L17" s="8"/>
      <c r="M17" s="8"/>
      <c r="N17" s="8"/>
      <c r="O17" s="8"/>
      <c r="P17" s="8"/>
      <c r="Q17" s="8"/>
      <c r="R17" s="8"/>
      <c r="S17" s="8"/>
    </row>
    <row r="18" spans="1:19" ht="19.2" customHeight="1" x14ac:dyDescent="0.3">
      <c r="A18" s="51"/>
      <c r="B18" s="14" t="s">
        <v>50</v>
      </c>
      <c r="C18" s="12"/>
      <c r="D18" s="15" t="s">
        <v>43</v>
      </c>
      <c r="E18" s="8"/>
      <c r="F18" s="8"/>
      <c r="G18" s="16"/>
      <c r="H18" s="16"/>
      <c r="I18" s="16">
        <v>2</v>
      </c>
      <c r="J18" s="16"/>
      <c r="K18" s="8"/>
      <c r="L18" s="8"/>
      <c r="M18" s="8"/>
      <c r="N18" s="8"/>
      <c r="O18" s="8"/>
      <c r="P18" s="8"/>
      <c r="Q18" s="8"/>
      <c r="R18" s="8"/>
      <c r="S18" s="8"/>
    </row>
    <row r="19" spans="1:19" ht="17.399999999999999" customHeight="1" x14ac:dyDescent="0.3">
      <c r="A19" s="51"/>
      <c r="B19" s="14" t="s">
        <v>51</v>
      </c>
      <c r="C19" s="12"/>
      <c r="D19" s="15" t="s">
        <v>43</v>
      </c>
      <c r="E19" s="8"/>
      <c r="F19" s="8"/>
      <c r="G19" s="16"/>
      <c r="H19" s="16"/>
      <c r="I19" s="16">
        <v>1.5</v>
      </c>
      <c r="J19" s="16"/>
      <c r="K19" s="8"/>
      <c r="L19" s="8"/>
      <c r="M19" s="8"/>
      <c r="N19" s="8"/>
      <c r="O19" s="8"/>
      <c r="P19" s="8"/>
      <c r="Q19" s="8"/>
      <c r="R19" s="8"/>
      <c r="S19" s="8"/>
    </row>
    <row r="20" spans="1:19" ht="15" customHeight="1" x14ac:dyDescent="0.3">
      <c r="A20" s="51"/>
      <c r="B20" s="11" t="s">
        <v>52</v>
      </c>
      <c r="C20" s="12"/>
      <c r="D20" s="12"/>
      <c r="E20" s="8"/>
      <c r="F20" s="8"/>
      <c r="G20" s="13">
        <v>3</v>
      </c>
      <c r="H20" s="13">
        <v>3</v>
      </c>
      <c r="I20" s="13"/>
      <c r="J20" s="13"/>
      <c r="K20" s="8"/>
      <c r="L20" s="8"/>
      <c r="M20" s="8"/>
      <c r="N20" s="8"/>
      <c r="O20" s="8"/>
      <c r="P20" s="8"/>
      <c r="Q20" s="8"/>
      <c r="R20" s="8"/>
      <c r="S20" s="8"/>
    </row>
    <row r="21" spans="1:19" ht="30" customHeight="1" x14ac:dyDescent="0.3">
      <c r="A21" s="51"/>
      <c r="B21" s="14" t="s">
        <v>53</v>
      </c>
      <c r="C21" s="12"/>
      <c r="D21" s="12"/>
      <c r="E21" s="8"/>
      <c r="F21" s="8"/>
      <c r="G21" s="16"/>
      <c r="H21" s="16"/>
      <c r="I21" s="16">
        <v>3</v>
      </c>
      <c r="J21" s="16"/>
      <c r="K21" s="8"/>
      <c r="L21" s="8"/>
      <c r="M21" s="8"/>
      <c r="N21" s="8"/>
      <c r="O21" s="8"/>
      <c r="P21" s="8"/>
      <c r="Q21" s="8"/>
      <c r="R21" s="8"/>
      <c r="S21" s="8"/>
    </row>
    <row r="22" spans="1:19" ht="30" customHeight="1" x14ac:dyDescent="0.3">
      <c r="A22" s="51"/>
      <c r="B22" s="14" t="s">
        <v>54</v>
      </c>
      <c r="C22" s="12"/>
      <c r="D22" s="15" t="s">
        <v>43</v>
      </c>
      <c r="E22" s="8"/>
      <c r="F22" s="8"/>
      <c r="G22" s="16"/>
      <c r="H22" s="16"/>
      <c r="I22" s="16">
        <v>2</v>
      </c>
      <c r="J22" s="16"/>
      <c r="K22" s="8"/>
      <c r="L22" s="8"/>
      <c r="M22" s="8"/>
      <c r="N22" s="8"/>
      <c r="O22" s="8"/>
      <c r="P22" s="8"/>
      <c r="Q22" s="8"/>
      <c r="R22" s="8"/>
      <c r="S22" s="8"/>
    </row>
    <row r="23" spans="1:19" ht="22.2" customHeight="1" x14ac:dyDescent="0.3">
      <c r="A23" s="51"/>
      <c r="B23" s="14" t="s">
        <v>55</v>
      </c>
      <c r="C23" s="12"/>
      <c r="D23" s="12"/>
      <c r="E23" s="8"/>
      <c r="F23" s="8"/>
      <c r="G23" s="16"/>
      <c r="H23" s="16"/>
      <c r="I23" s="16">
        <v>1.5</v>
      </c>
      <c r="J23" s="16"/>
      <c r="K23" s="8"/>
      <c r="L23" s="8"/>
      <c r="M23" s="8"/>
      <c r="N23" s="8"/>
      <c r="O23" s="8"/>
      <c r="P23" s="8"/>
      <c r="Q23" s="8"/>
      <c r="R23" s="8"/>
      <c r="S23" s="8"/>
    </row>
    <row r="24" spans="1:19" ht="30" customHeight="1" x14ac:dyDescent="0.3">
      <c r="A24" s="51"/>
      <c r="B24" s="14" t="s">
        <v>56</v>
      </c>
      <c r="C24" s="12"/>
      <c r="D24" s="12"/>
      <c r="E24" s="8"/>
      <c r="F24" s="8"/>
      <c r="G24" s="16"/>
      <c r="H24" s="16"/>
      <c r="I24" s="16">
        <v>0.5</v>
      </c>
      <c r="J24" s="16"/>
      <c r="K24" s="8"/>
      <c r="L24" s="8"/>
      <c r="M24" s="8"/>
      <c r="N24" s="8"/>
      <c r="O24" s="8"/>
      <c r="P24" s="8"/>
      <c r="Q24" s="8"/>
      <c r="R24" s="8"/>
      <c r="S24" s="8"/>
    </row>
    <row r="25" spans="1:19" ht="30" customHeight="1" x14ac:dyDescent="0.3">
      <c r="A25" s="51"/>
      <c r="B25" s="21" t="s">
        <v>87</v>
      </c>
      <c r="C25" s="12"/>
      <c r="D25" s="12"/>
      <c r="E25" s="8"/>
      <c r="F25" s="8"/>
      <c r="G25" s="16"/>
      <c r="H25" s="16"/>
      <c r="I25" s="16">
        <v>3</v>
      </c>
      <c r="J25" s="16"/>
      <c r="K25" s="8"/>
      <c r="L25" s="8"/>
      <c r="M25" s="8"/>
      <c r="N25" s="8"/>
      <c r="O25" s="8"/>
      <c r="P25" s="8"/>
      <c r="Q25" s="8"/>
      <c r="R25" s="8"/>
      <c r="S25" s="8"/>
    </row>
    <row r="26" spans="1:19" ht="26.4" customHeight="1" x14ac:dyDescent="0.3">
      <c r="A26" s="51"/>
      <c r="B26" s="21" t="s">
        <v>88</v>
      </c>
      <c r="C26" s="12"/>
      <c r="D26" s="12"/>
      <c r="E26" s="8"/>
      <c r="F26" s="8"/>
      <c r="G26" s="13"/>
      <c r="H26" s="16"/>
      <c r="I26" s="16">
        <v>3</v>
      </c>
      <c r="J26" s="16"/>
      <c r="K26" s="8"/>
      <c r="L26" s="8"/>
      <c r="M26" s="8"/>
      <c r="N26" s="8"/>
      <c r="O26" s="8"/>
      <c r="P26" s="8"/>
      <c r="Q26" s="8"/>
      <c r="R26" s="8"/>
      <c r="S26" s="8"/>
    </row>
    <row r="27" spans="1:19" ht="30" customHeight="1" x14ac:dyDescent="0.3">
      <c r="A27" s="51"/>
      <c r="B27" s="14" t="s">
        <v>57</v>
      </c>
      <c r="C27" s="12"/>
      <c r="D27" s="12"/>
      <c r="E27" s="8"/>
      <c r="F27" s="8"/>
      <c r="G27" s="16"/>
      <c r="H27" s="16"/>
      <c r="I27" s="16">
        <v>1</v>
      </c>
      <c r="J27" s="16"/>
      <c r="K27" s="8"/>
      <c r="L27" s="8"/>
      <c r="M27" s="8"/>
      <c r="N27" s="8"/>
      <c r="O27" s="8"/>
      <c r="P27" s="8"/>
      <c r="Q27" s="8"/>
      <c r="R27" s="8"/>
      <c r="S27" s="8"/>
    </row>
    <row r="28" spans="1:19" ht="15" customHeight="1" x14ac:dyDescent="0.3">
      <c r="A28" s="51"/>
      <c r="B28" s="14" t="s">
        <v>58</v>
      </c>
      <c r="C28" s="12"/>
      <c r="D28" s="12"/>
      <c r="E28" s="8"/>
      <c r="F28" s="8"/>
      <c r="G28" s="16"/>
      <c r="H28" s="16"/>
      <c r="I28" s="16">
        <v>1</v>
      </c>
      <c r="J28" s="16"/>
      <c r="K28" s="8"/>
      <c r="L28" s="8"/>
      <c r="M28" s="8"/>
      <c r="N28" s="8"/>
      <c r="O28" s="8"/>
      <c r="P28" s="8"/>
      <c r="Q28" s="8"/>
      <c r="R28" s="8"/>
      <c r="S28" s="8"/>
    </row>
    <row r="29" spans="1:19" ht="47.4" customHeight="1" x14ac:dyDescent="0.3">
      <c r="A29" s="51"/>
      <c r="B29" s="21" t="s">
        <v>89</v>
      </c>
      <c r="C29" s="12"/>
      <c r="D29" s="12"/>
      <c r="E29" s="8"/>
      <c r="F29" s="8"/>
      <c r="G29" s="13"/>
      <c r="H29" s="16"/>
      <c r="I29" s="13">
        <v>3</v>
      </c>
      <c r="J29" s="16"/>
      <c r="K29" s="8"/>
      <c r="L29" s="8"/>
      <c r="M29" s="8"/>
      <c r="N29" s="8"/>
      <c r="O29" s="8"/>
      <c r="P29" s="8"/>
      <c r="Q29" s="8"/>
      <c r="R29" s="8"/>
      <c r="S29" s="8"/>
    </row>
    <row r="30" spans="1:19" ht="30" customHeight="1" x14ac:dyDescent="0.3">
      <c r="A30" s="51"/>
      <c r="B30" s="14" t="s">
        <v>59</v>
      </c>
      <c r="C30" s="12"/>
      <c r="D30" s="12"/>
      <c r="E30" s="8"/>
      <c r="F30" s="8"/>
      <c r="G30" s="16"/>
      <c r="H30" s="16"/>
      <c r="I30" s="16">
        <v>1</v>
      </c>
      <c r="J30" s="16"/>
      <c r="K30" s="8"/>
      <c r="L30" s="8"/>
      <c r="M30" s="8"/>
      <c r="N30" s="8"/>
      <c r="O30" s="8"/>
      <c r="P30" s="8"/>
      <c r="Q30" s="8"/>
      <c r="R30" s="8"/>
      <c r="S30" s="8"/>
    </row>
    <row r="31" spans="1:19" ht="15" customHeight="1" x14ac:dyDescent="0.3">
      <c r="A31" s="51"/>
      <c r="B31" s="11" t="s">
        <v>60</v>
      </c>
      <c r="C31" s="12"/>
      <c r="D31" s="12"/>
      <c r="E31" s="8"/>
      <c r="F31" s="8"/>
      <c r="G31" s="13">
        <v>2</v>
      </c>
      <c r="H31" s="13">
        <v>3</v>
      </c>
      <c r="I31" s="13"/>
      <c r="J31" s="13"/>
      <c r="K31" s="8"/>
      <c r="L31" s="8"/>
      <c r="M31" s="8"/>
      <c r="N31" s="8"/>
      <c r="O31" s="8"/>
      <c r="P31" s="8"/>
      <c r="Q31" s="8"/>
      <c r="R31" s="8"/>
      <c r="S31" s="8"/>
    </row>
    <row r="32" spans="1:19" ht="30" customHeight="1" x14ac:dyDescent="0.3">
      <c r="A32" s="51"/>
      <c r="B32" s="14" t="s">
        <v>61</v>
      </c>
      <c r="C32" s="12"/>
      <c r="D32" s="15" t="s">
        <v>43</v>
      </c>
      <c r="E32" s="8"/>
      <c r="F32" s="8"/>
      <c r="G32" s="16"/>
      <c r="H32" s="16"/>
      <c r="I32" s="16">
        <v>2</v>
      </c>
      <c r="J32" s="16"/>
      <c r="K32" s="8"/>
      <c r="L32" s="8"/>
      <c r="M32" s="8"/>
      <c r="N32" s="8"/>
      <c r="O32" s="8"/>
      <c r="P32" s="8"/>
      <c r="Q32" s="8"/>
      <c r="R32" s="8"/>
      <c r="S32" s="8"/>
    </row>
    <row r="33" spans="1:19" ht="30" customHeight="1" x14ac:dyDescent="0.3">
      <c r="A33" s="51"/>
      <c r="B33" s="21" t="s">
        <v>90</v>
      </c>
      <c r="C33" s="12"/>
      <c r="D33" s="12"/>
      <c r="E33" s="8"/>
      <c r="F33" s="8"/>
      <c r="G33" s="13"/>
      <c r="H33" s="16"/>
      <c r="I33" s="13">
        <v>3</v>
      </c>
      <c r="J33" s="16"/>
      <c r="K33" s="8"/>
      <c r="L33" s="8"/>
      <c r="M33" s="8"/>
      <c r="N33" s="8"/>
      <c r="O33" s="8"/>
      <c r="P33" s="8"/>
      <c r="Q33" s="8"/>
      <c r="R33" s="8"/>
      <c r="S33" s="8"/>
    </row>
    <row r="34" spans="1:19" ht="15" customHeight="1" x14ac:dyDescent="0.3">
      <c r="A34" s="51"/>
      <c r="B34" s="14" t="s">
        <v>62</v>
      </c>
      <c r="C34" s="12"/>
      <c r="D34" s="12"/>
      <c r="E34" s="8"/>
      <c r="F34" s="8"/>
      <c r="G34" s="13"/>
      <c r="H34" s="16"/>
      <c r="I34" s="16">
        <v>1</v>
      </c>
      <c r="J34" s="16"/>
      <c r="K34" s="8"/>
      <c r="L34" s="8"/>
      <c r="M34" s="8"/>
      <c r="N34" s="8"/>
      <c r="O34" s="8"/>
      <c r="P34" s="8"/>
      <c r="Q34" s="8"/>
      <c r="R34" s="8"/>
      <c r="S34" s="8"/>
    </row>
    <row r="35" spans="1:19" ht="30" customHeight="1" x14ac:dyDescent="0.3">
      <c r="A35" s="51"/>
      <c r="B35" s="21" t="s">
        <v>91</v>
      </c>
      <c r="C35" s="12"/>
      <c r="D35" s="12"/>
      <c r="E35" s="8"/>
      <c r="F35" s="8"/>
      <c r="G35" s="13"/>
      <c r="H35" s="16"/>
      <c r="I35" s="13">
        <v>3</v>
      </c>
      <c r="J35" s="16"/>
      <c r="K35" s="8"/>
      <c r="L35" s="8"/>
      <c r="M35" s="8"/>
      <c r="N35" s="8"/>
      <c r="O35" s="8"/>
      <c r="P35" s="8"/>
      <c r="Q35" s="8"/>
      <c r="R35" s="8"/>
      <c r="S35" s="8"/>
    </row>
    <row r="36" spans="1:19" ht="15" customHeight="1" x14ac:dyDescent="0.3">
      <c r="A36" s="51"/>
      <c r="B36" s="14" t="s">
        <v>63</v>
      </c>
      <c r="C36" s="12"/>
      <c r="D36" s="12"/>
      <c r="E36" s="8"/>
      <c r="F36" s="8"/>
      <c r="G36" s="16"/>
      <c r="H36" s="16"/>
      <c r="I36" s="16">
        <v>1</v>
      </c>
      <c r="J36" s="16"/>
      <c r="K36" s="8"/>
      <c r="L36" s="8"/>
      <c r="M36" s="8"/>
      <c r="N36" s="8"/>
      <c r="O36" s="8"/>
      <c r="P36" s="8"/>
      <c r="Q36" s="8"/>
      <c r="R36" s="8"/>
      <c r="S36" s="8"/>
    </row>
    <row r="37" spans="1:19" ht="15" customHeight="1" x14ac:dyDescent="0.3">
      <c r="A37" s="51"/>
      <c r="B37" s="14" t="s">
        <v>64</v>
      </c>
      <c r="C37" s="12"/>
      <c r="D37" s="12"/>
      <c r="E37" s="8"/>
      <c r="F37" s="8"/>
      <c r="G37" s="16"/>
      <c r="H37" s="16"/>
      <c r="I37" s="16">
        <v>2</v>
      </c>
      <c r="J37" s="16"/>
      <c r="K37" s="8"/>
      <c r="L37" s="8"/>
      <c r="M37" s="8"/>
      <c r="N37" s="8"/>
      <c r="O37" s="8"/>
      <c r="P37" s="8"/>
      <c r="Q37" s="8"/>
      <c r="R37" s="8"/>
      <c r="S37" s="8"/>
    </row>
    <row r="38" spans="1:19" ht="30" customHeight="1" x14ac:dyDescent="0.3">
      <c r="A38" s="51"/>
      <c r="B38" s="21" t="s">
        <v>92</v>
      </c>
      <c r="C38" s="12"/>
      <c r="D38" s="12"/>
      <c r="E38" s="8"/>
      <c r="F38" s="8"/>
      <c r="G38" s="13"/>
      <c r="H38" s="16"/>
      <c r="I38" s="16">
        <v>3</v>
      </c>
      <c r="J38" s="16"/>
      <c r="K38" s="8"/>
      <c r="L38" s="8"/>
      <c r="M38" s="8"/>
      <c r="N38" s="8"/>
      <c r="O38" s="8"/>
      <c r="P38" s="8"/>
      <c r="Q38" s="8"/>
      <c r="R38" s="8"/>
      <c r="S38" s="8"/>
    </row>
    <row r="39" spans="1:19" ht="15" customHeight="1" x14ac:dyDescent="0.3">
      <c r="A39" s="51"/>
      <c r="B39" s="11" t="s">
        <v>65</v>
      </c>
      <c r="C39" s="12"/>
      <c r="D39" s="12"/>
      <c r="E39" s="8"/>
      <c r="F39" s="8"/>
      <c r="G39" s="13">
        <v>1</v>
      </c>
      <c r="H39" s="13">
        <v>1</v>
      </c>
      <c r="I39" s="13"/>
      <c r="J39" s="13"/>
      <c r="K39" s="8"/>
      <c r="L39" s="8"/>
      <c r="M39" s="8"/>
      <c r="N39" s="8"/>
      <c r="O39" s="8"/>
      <c r="P39" s="8"/>
      <c r="Q39" s="8"/>
      <c r="R39" s="8"/>
      <c r="S39" s="8"/>
    </row>
    <row r="40" spans="1:19" ht="30" customHeight="1" x14ac:dyDescent="0.3">
      <c r="A40" s="51"/>
      <c r="B40" s="14" t="s">
        <v>66</v>
      </c>
      <c r="C40" s="12"/>
      <c r="D40" s="12"/>
      <c r="E40" s="8"/>
      <c r="F40" s="8"/>
      <c r="G40" s="16"/>
      <c r="H40" s="16"/>
      <c r="I40" s="16">
        <v>2</v>
      </c>
      <c r="J40" s="16"/>
      <c r="K40" s="8"/>
      <c r="L40" s="8"/>
      <c r="M40" s="8"/>
      <c r="N40" s="8"/>
      <c r="O40" s="8"/>
      <c r="P40" s="8"/>
      <c r="Q40" s="8"/>
      <c r="R40" s="8"/>
      <c r="S40" s="8"/>
    </row>
    <row r="41" spans="1:19" ht="15" customHeight="1" x14ac:dyDescent="0.3">
      <c r="A41" s="51"/>
      <c r="B41" s="14" t="s">
        <v>67</v>
      </c>
      <c r="C41" s="12"/>
      <c r="D41" s="12"/>
      <c r="E41" s="8"/>
      <c r="F41" s="8"/>
      <c r="G41" s="13"/>
      <c r="H41" s="16"/>
      <c r="I41" s="16">
        <v>1</v>
      </c>
      <c r="J41" s="16"/>
      <c r="K41" s="8"/>
      <c r="L41" s="8"/>
      <c r="M41" s="8"/>
      <c r="N41" s="8"/>
      <c r="O41" s="8"/>
      <c r="P41" s="8"/>
      <c r="Q41" s="8"/>
      <c r="R41" s="8"/>
      <c r="S41" s="8"/>
    </row>
    <row r="42" spans="1:19" ht="15" customHeight="1" x14ac:dyDescent="0.3">
      <c r="A42" s="51"/>
      <c r="B42" s="14" t="s">
        <v>68</v>
      </c>
      <c r="C42" s="12"/>
      <c r="D42" s="12"/>
      <c r="E42" s="8"/>
      <c r="F42" s="8"/>
      <c r="G42" s="16"/>
      <c r="H42" s="16"/>
      <c r="I42" s="16">
        <v>1</v>
      </c>
      <c r="J42" s="16"/>
      <c r="K42" s="8"/>
      <c r="L42" s="8"/>
      <c r="M42" s="8"/>
      <c r="N42" s="8"/>
      <c r="O42" s="8"/>
      <c r="P42" s="8"/>
      <c r="Q42" s="8"/>
      <c r="R42" s="8"/>
      <c r="S42" s="8"/>
    </row>
    <row r="43" spans="1:19" ht="15" customHeight="1" x14ac:dyDescent="0.3">
      <c r="A43" s="51" t="s">
        <v>69</v>
      </c>
      <c r="B43" s="6" t="s">
        <v>69</v>
      </c>
      <c r="C43" s="7"/>
      <c r="D43" s="7"/>
      <c r="E43" s="8"/>
      <c r="F43" s="8"/>
      <c r="G43" s="9">
        <v>2</v>
      </c>
      <c r="H43" s="9">
        <v>3</v>
      </c>
      <c r="I43" s="9"/>
      <c r="J43" s="9"/>
      <c r="K43" s="10"/>
      <c r="L43" s="10"/>
      <c r="M43" s="10"/>
      <c r="N43" s="10"/>
      <c r="O43" s="10"/>
      <c r="P43" s="10"/>
      <c r="Q43" s="10"/>
      <c r="R43" s="10"/>
      <c r="S43" s="10"/>
    </row>
    <row r="44" spans="1:19" ht="15" customHeight="1" x14ac:dyDescent="0.3">
      <c r="A44" s="51"/>
      <c r="B44" s="14" t="s">
        <v>70</v>
      </c>
      <c r="C44" s="12"/>
      <c r="D44" s="12"/>
      <c r="E44" s="8"/>
      <c r="F44" s="8"/>
      <c r="G44" s="16"/>
      <c r="H44" s="16"/>
      <c r="I44" s="16">
        <v>2</v>
      </c>
      <c r="J44" s="16"/>
      <c r="K44" s="8"/>
      <c r="L44" s="8"/>
      <c r="M44" s="8"/>
      <c r="N44" s="8"/>
      <c r="O44" s="8"/>
      <c r="P44" s="8"/>
      <c r="Q44" s="8"/>
      <c r="R44" s="8"/>
      <c r="S44" s="8"/>
    </row>
    <row r="45" spans="1:19" ht="15" customHeight="1" x14ac:dyDescent="0.3">
      <c r="A45" s="51"/>
      <c r="B45" s="14" t="s">
        <v>71</v>
      </c>
      <c r="C45" s="12"/>
      <c r="D45" s="15" t="s">
        <v>43</v>
      </c>
      <c r="E45" s="8"/>
      <c r="F45" s="8"/>
      <c r="G45" s="16"/>
      <c r="H45" s="16"/>
      <c r="I45" s="16">
        <v>2</v>
      </c>
      <c r="J45" s="16"/>
      <c r="K45" s="8"/>
      <c r="L45" s="8"/>
      <c r="M45" s="8"/>
      <c r="N45" s="8"/>
      <c r="O45" s="8"/>
      <c r="P45" s="8"/>
      <c r="Q45" s="8"/>
      <c r="R45" s="8"/>
      <c r="S45" s="8"/>
    </row>
    <row r="46" spans="1:19" ht="15" customHeight="1" x14ac:dyDescent="0.3">
      <c r="A46" s="51"/>
      <c r="B46" s="14" t="s">
        <v>72</v>
      </c>
      <c r="C46" s="12"/>
      <c r="D46" s="12"/>
      <c r="E46" s="8"/>
      <c r="F46" s="8"/>
      <c r="G46" s="16"/>
      <c r="H46" s="16"/>
      <c r="I46" s="16">
        <v>2</v>
      </c>
      <c r="J46" s="16"/>
      <c r="K46" s="8"/>
      <c r="L46" s="8"/>
      <c r="M46" s="8"/>
      <c r="N46" s="8"/>
      <c r="O46" s="8"/>
      <c r="P46" s="8"/>
      <c r="Q46" s="8"/>
      <c r="R46" s="8"/>
      <c r="S46" s="8"/>
    </row>
    <row r="47" spans="1:19" ht="15" customHeight="1" x14ac:dyDescent="0.3">
      <c r="A47" s="51"/>
      <c r="B47" s="14" t="s">
        <v>73</v>
      </c>
      <c r="C47" s="12"/>
      <c r="D47" s="12"/>
      <c r="E47" s="8"/>
      <c r="F47" s="8"/>
      <c r="G47" s="16"/>
      <c r="H47" s="16"/>
      <c r="I47" s="16">
        <v>2</v>
      </c>
      <c r="J47" s="16"/>
      <c r="K47" s="8"/>
      <c r="L47" s="8"/>
      <c r="M47" s="8"/>
      <c r="N47" s="8"/>
      <c r="O47" s="8"/>
      <c r="P47" s="8"/>
      <c r="Q47" s="8"/>
      <c r="R47" s="8"/>
      <c r="S47" s="8"/>
    </row>
    <row r="48" spans="1:19" ht="15" customHeight="1" x14ac:dyDescent="0.3">
      <c r="A48" s="51"/>
      <c r="B48" s="14" t="s">
        <v>74</v>
      </c>
      <c r="C48" s="12"/>
      <c r="D48" s="12"/>
      <c r="E48" s="8"/>
      <c r="F48" s="8"/>
      <c r="G48" s="16"/>
      <c r="H48" s="16"/>
      <c r="I48" s="16">
        <v>2</v>
      </c>
      <c r="J48" s="16"/>
      <c r="K48" s="8"/>
      <c r="L48" s="8"/>
      <c r="M48" s="8"/>
      <c r="N48" s="8"/>
      <c r="O48" s="8"/>
      <c r="P48" s="8"/>
      <c r="Q48" s="8"/>
      <c r="R48" s="8"/>
      <c r="S48" s="8"/>
    </row>
    <row r="49" spans="1:19" ht="15" customHeight="1" x14ac:dyDescent="0.3">
      <c r="A49" s="51"/>
      <c r="B49" s="14" t="s">
        <v>75</v>
      </c>
      <c r="C49" s="12"/>
      <c r="D49" s="12"/>
      <c r="E49" s="8"/>
      <c r="F49" s="8"/>
      <c r="G49" s="16"/>
      <c r="H49" s="16"/>
      <c r="I49" s="16">
        <v>2</v>
      </c>
      <c r="J49" s="16"/>
      <c r="K49" s="8"/>
      <c r="L49" s="8"/>
      <c r="M49" s="8"/>
      <c r="N49" s="8"/>
      <c r="O49" s="8"/>
      <c r="P49" s="8"/>
      <c r="Q49" s="8"/>
      <c r="R49" s="8"/>
      <c r="S49" s="8"/>
    </row>
    <row r="50" spans="1:19" ht="15" customHeight="1" x14ac:dyDescent="0.3">
      <c r="A50" s="51"/>
      <c r="B50" s="14" t="s">
        <v>76</v>
      </c>
      <c r="C50" s="12"/>
      <c r="D50" s="12"/>
      <c r="E50" s="8"/>
      <c r="F50" s="8"/>
      <c r="G50" s="16"/>
      <c r="H50" s="16"/>
      <c r="I50" s="16">
        <v>2</v>
      </c>
      <c r="J50" s="16"/>
      <c r="K50" s="8"/>
      <c r="L50" s="8"/>
      <c r="M50" s="8"/>
      <c r="N50" s="8"/>
      <c r="O50" s="8"/>
      <c r="P50" s="8"/>
      <c r="Q50" s="8"/>
      <c r="R50" s="8"/>
      <c r="S50" s="8"/>
    </row>
    <row r="51" spans="1:19" ht="15" customHeight="1" x14ac:dyDescent="0.3">
      <c r="A51" s="51"/>
      <c r="B51" s="14" t="s">
        <v>77</v>
      </c>
      <c r="C51" s="12"/>
      <c r="D51" s="12"/>
      <c r="E51" s="8"/>
      <c r="F51" s="8"/>
      <c r="G51" s="16"/>
      <c r="H51" s="16"/>
      <c r="I51" s="16">
        <v>2</v>
      </c>
      <c r="J51" s="16"/>
      <c r="K51" s="8"/>
      <c r="L51" s="8"/>
      <c r="M51" s="8"/>
      <c r="N51" s="8"/>
      <c r="O51" s="8"/>
      <c r="P51" s="8"/>
      <c r="Q51" s="8"/>
      <c r="R51" s="8"/>
      <c r="S51" s="8"/>
    </row>
    <row r="52" spans="1:19" ht="15" customHeight="1" x14ac:dyDescent="0.3">
      <c r="A52" s="51" t="s">
        <v>78</v>
      </c>
      <c r="B52" s="6" t="s">
        <v>79</v>
      </c>
      <c r="C52" s="7"/>
      <c r="D52" s="7"/>
      <c r="E52" s="8"/>
      <c r="F52" s="8"/>
      <c r="G52" s="9">
        <v>1</v>
      </c>
      <c r="H52" s="9">
        <v>1</v>
      </c>
      <c r="I52" s="9"/>
      <c r="J52" s="9"/>
      <c r="K52" s="10"/>
      <c r="L52" s="10"/>
      <c r="M52" s="10"/>
      <c r="N52" s="10"/>
      <c r="O52" s="10"/>
      <c r="P52" s="10"/>
      <c r="Q52" s="10"/>
      <c r="R52" s="10"/>
      <c r="S52" s="10"/>
    </row>
    <row r="53" spans="1:19" ht="15" customHeight="1" x14ac:dyDescent="0.3">
      <c r="A53" s="51"/>
      <c r="B53" s="14" t="s">
        <v>80</v>
      </c>
      <c r="C53" s="12"/>
      <c r="D53" s="12"/>
      <c r="E53" s="8"/>
      <c r="F53" s="8"/>
      <c r="G53" s="22" t="s">
        <v>85</v>
      </c>
      <c r="H53" s="22" t="s">
        <v>85</v>
      </c>
      <c r="I53" s="13"/>
      <c r="J53" s="16"/>
      <c r="K53" s="8"/>
      <c r="L53" s="8"/>
      <c r="M53" s="8"/>
      <c r="N53" s="8"/>
      <c r="O53" s="8"/>
      <c r="P53" s="8"/>
      <c r="Q53" s="8"/>
      <c r="R53" s="8"/>
      <c r="S53" s="8"/>
    </row>
    <row r="54" spans="1:19" ht="15" customHeight="1" x14ac:dyDescent="0.3">
      <c r="A54" s="51"/>
      <c r="B54" s="21" t="s">
        <v>96</v>
      </c>
      <c r="C54" s="12"/>
      <c r="D54" s="12"/>
      <c r="E54" s="8"/>
      <c r="F54" s="8"/>
      <c r="G54" s="13"/>
      <c r="H54" s="22" t="s">
        <v>85</v>
      </c>
      <c r="I54" s="13">
        <v>3</v>
      </c>
      <c r="J54" s="16"/>
      <c r="K54" s="8"/>
      <c r="L54" s="8"/>
      <c r="M54" s="8"/>
      <c r="N54" s="8"/>
      <c r="O54" s="8"/>
      <c r="P54" s="8"/>
      <c r="Q54" s="8"/>
      <c r="R54" s="8"/>
      <c r="S54" s="8"/>
    </row>
    <row r="55" spans="1:19" ht="15" customHeight="1" x14ac:dyDescent="0.3">
      <c r="A55" s="52" t="s">
        <v>81</v>
      </c>
      <c r="B55" s="6" t="s">
        <v>81</v>
      </c>
      <c r="C55" s="7"/>
      <c r="D55" s="7"/>
      <c r="E55" s="8"/>
      <c r="F55" s="8"/>
      <c r="G55" s="9">
        <v>3</v>
      </c>
      <c r="H55" s="9"/>
      <c r="I55" s="9"/>
      <c r="J55" s="9"/>
      <c r="K55" s="10"/>
      <c r="L55" s="10"/>
      <c r="M55" s="10"/>
      <c r="N55" s="10"/>
      <c r="O55" s="10"/>
      <c r="P55" s="10"/>
      <c r="Q55" s="10"/>
      <c r="R55" s="10"/>
      <c r="S55" s="10"/>
    </row>
    <row r="56" spans="1:19" ht="15" customHeight="1" x14ac:dyDescent="0.3">
      <c r="A56" s="53"/>
      <c r="B56" s="14" t="s">
        <v>82</v>
      </c>
      <c r="C56" s="12"/>
      <c r="D56" s="12"/>
      <c r="E56" s="8"/>
      <c r="F56" s="8"/>
      <c r="G56" s="16"/>
      <c r="H56" s="16"/>
      <c r="I56" s="16">
        <v>3</v>
      </c>
      <c r="J56" s="16"/>
      <c r="K56" s="8"/>
      <c r="L56" s="8"/>
      <c r="M56" s="8"/>
      <c r="N56" s="8"/>
      <c r="O56" s="8"/>
      <c r="P56" s="8"/>
      <c r="Q56" s="8"/>
      <c r="R56" s="8"/>
      <c r="S56" s="8"/>
    </row>
    <row r="57" spans="1:19" ht="15" customHeight="1" x14ac:dyDescent="0.3">
      <c r="A57" s="53"/>
      <c r="B57" s="14" t="s">
        <v>83</v>
      </c>
      <c r="C57" s="12"/>
      <c r="D57" s="12"/>
      <c r="E57" s="8"/>
      <c r="F57" s="8"/>
      <c r="G57" s="16"/>
      <c r="H57" s="16"/>
      <c r="I57" s="16">
        <v>3</v>
      </c>
      <c r="J57" s="16"/>
      <c r="K57" s="8"/>
      <c r="L57" s="8"/>
      <c r="M57" s="8"/>
      <c r="N57" s="8"/>
      <c r="O57" s="8"/>
      <c r="P57" s="8"/>
      <c r="Q57" s="8"/>
      <c r="R57" s="8"/>
      <c r="S57" s="8"/>
    </row>
    <row r="58" spans="1:19" ht="30" customHeight="1" x14ac:dyDescent="0.3">
      <c r="A58" s="53"/>
      <c r="B58" s="23" t="s">
        <v>95</v>
      </c>
      <c r="C58" s="12"/>
      <c r="D58" s="12"/>
      <c r="E58" s="8"/>
      <c r="F58" s="8"/>
      <c r="G58" s="16"/>
      <c r="H58" s="16"/>
      <c r="I58" s="16">
        <v>2.5</v>
      </c>
      <c r="J58" s="16"/>
      <c r="K58" s="8"/>
      <c r="L58" s="8"/>
      <c r="M58" s="8"/>
      <c r="N58" s="8"/>
      <c r="O58" s="8"/>
      <c r="P58" s="8"/>
      <c r="Q58" s="8"/>
      <c r="R58" s="8"/>
      <c r="S58" s="8"/>
    </row>
    <row r="59" spans="1:19" ht="30" customHeight="1" x14ac:dyDescent="0.3">
      <c r="A59" s="53"/>
      <c r="B59" s="23" t="s">
        <v>94</v>
      </c>
      <c r="C59" s="12"/>
      <c r="D59" s="12"/>
      <c r="E59" s="8"/>
      <c r="F59" s="8"/>
      <c r="G59" s="16"/>
      <c r="H59" s="16"/>
      <c r="I59" s="16">
        <v>2</v>
      </c>
      <c r="J59" s="16"/>
      <c r="K59" s="8"/>
      <c r="L59" s="8"/>
      <c r="M59" s="8"/>
      <c r="N59" s="8"/>
      <c r="O59" s="8"/>
      <c r="P59" s="8"/>
      <c r="Q59" s="8"/>
      <c r="R59" s="8"/>
      <c r="S59" s="8"/>
    </row>
    <row r="60" spans="1:19" ht="30" customHeight="1" x14ac:dyDescent="0.3">
      <c r="A60" s="54"/>
      <c r="B60" s="23" t="s">
        <v>93</v>
      </c>
      <c r="C60" s="12"/>
      <c r="D60" s="12"/>
      <c r="E60" s="8"/>
      <c r="F60" s="8"/>
      <c r="G60" s="16"/>
      <c r="H60" s="16"/>
      <c r="I60" s="16">
        <v>2</v>
      </c>
      <c r="J60" s="16"/>
      <c r="K60" s="8"/>
      <c r="L60" s="8"/>
      <c r="M60" s="8"/>
      <c r="N60" s="8"/>
      <c r="O60" s="8"/>
      <c r="P60" s="8"/>
      <c r="Q60" s="8"/>
      <c r="R60" s="8"/>
      <c r="S60" s="8"/>
    </row>
    <row r="61" spans="1:19" ht="30" customHeight="1" x14ac:dyDescent="0.3">
      <c r="A61" s="52" t="s">
        <v>194</v>
      </c>
      <c r="B61" s="14" t="s">
        <v>195</v>
      </c>
      <c r="C61" s="12"/>
      <c r="D61" s="12"/>
      <c r="E61" s="8"/>
      <c r="F61" s="8"/>
      <c r="G61" s="22" t="s">
        <v>85</v>
      </c>
      <c r="H61" s="22" t="s">
        <v>85</v>
      </c>
      <c r="I61" s="13">
        <v>6</v>
      </c>
      <c r="J61" s="16"/>
      <c r="K61" s="8"/>
      <c r="L61" s="8"/>
      <c r="M61" s="8"/>
      <c r="N61" s="8"/>
      <c r="O61" s="8"/>
      <c r="P61" s="8"/>
      <c r="Q61" s="8"/>
      <c r="R61" s="8"/>
      <c r="S61" s="8"/>
    </row>
    <row r="62" spans="1:19" ht="30" customHeight="1" x14ac:dyDescent="0.3">
      <c r="A62" s="54"/>
      <c r="B62" s="14" t="s">
        <v>196</v>
      </c>
      <c r="C62" s="12"/>
      <c r="D62" s="12"/>
      <c r="E62" s="8"/>
      <c r="F62" s="8"/>
      <c r="G62" s="13"/>
      <c r="H62" s="22" t="s">
        <v>85</v>
      </c>
      <c r="I62" s="13">
        <v>1</v>
      </c>
      <c r="J62" s="16"/>
      <c r="K62" s="8"/>
      <c r="L62" s="8"/>
      <c r="M62" s="8"/>
      <c r="N62" s="8"/>
      <c r="O62" s="8"/>
      <c r="P62" s="8"/>
      <c r="Q62" s="8"/>
      <c r="R62" s="8"/>
      <c r="S62" s="8"/>
    </row>
    <row r="63" spans="1:19" ht="15.75" customHeight="1" x14ac:dyDescent="0.3">
      <c r="A63" s="55"/>
      <c r="B63" s="20" t="s">
        <v>84</v>
      </c>
      <c r="C63" s="17"/>
      <c r="D63" s="17"/>
      <c r="E63" s="18"/>
      <c r="F63" s="18"/>
      <c r="G63" s="19">
        <f>SUM(G5:G62)</f>
        <v>16</v>
      </c>
      <c r="H63" s="19">
        <f t="shared" ref="H63:J63" si="0">SUM(H5:H62)</f>
        <v>19</v>
      </c>
      <c r="I63" s="19">
        <f t="shared" si="0"/>
        <v>91</v>
      </c>
      <c r="J63" s="19">
        <f t="shared" si="0"/>
        <v>0</v>
      </c>
      <c r="K63" s="18"/>
      <c r="L63" s="18"/>
      <c r="M63" s="18"/>
      <c r="N63" s="18"/>
      <c r="O63" s="18"/>
      <c r="P63" s="18"/>
      <c r="Q63" s="18"/>
      <c r="R63" s="18"/>
      <c r="S63" s="18"/>
    </row>
    <row r="64" spans="1:19" x14ac:dyDescent="0.3">
      <c r="G64" s="56">
        <v>8500</v>
      </c>
      <c r="H64" s="56">
        <v>14000</v>
      </c>
      <c r="I64" s="56">
        <v>8500</v>
      </c>
    </row>
    <row r="65" spans="7:9" x14ac:dyDescent="0.3">
      <c r="G65" s="57">
        <f>G63*G64</f>
        <v>136000</v>
      </c>
      <c r="H65" s="57">
        <f t="shared" ref="H65:I65" si="1">H63*H64</f>
        <v>266000</v>
      </c>
      <c r="I65" s="57">
        <f t="shared" si="1"/>
        <v>773500</v>
      </c>
    </row>
    <row r="69" spans="7:9" x14ac:dyDescent="0.3">
      <c r="G69" s="58">
        <f>G65+H65+I65</f>
        <v>1175500</v>
      </c>
      <c r="H69" s="59"/>
      <c r="I69" s="59"/>
    </row>
    <row r="70" spans="7:9" x14ac:dyDescent="0.3">
      <c r="G70" s="59"/>
      <c r="H70" s="59"/>
      <c r="I70" s="59"/>
    </row>
  </sheetData>
  <mergeCells count="11">
    <mergeCell ref="A61:A62"/>
    <mergeCell ref="G69:I70"/>
    <mergeCell ref="B3:B4"/>
    <mergeCell ref="C3:C4"/>
    <mergeCell ref="D3:D4"/>
    <mergeCell ref="A5:A12"/>
    <mergeCell ref="A55:A60"/>
    <mergeCell ref="A13:A42"/>
    <mergeCell ref="A43:A51"/>
    <mergeCell ref="A52:A54"/>
    <mergeCell ref="A3:A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33D4E-EBF6-47F4-B156-78F8B9ACF8AC}">
  <dimension ref="A1:H33"/>
  <sheetViews>
    <sheetView topLeftCell="A10" workbookViewId="0">
      <selection activeCell="G33" sqref="G33"/>
    </sheetView>
  </sheetViews>
  <sheetFormatPr defaultColWidth="8.6640625" defaultRowHeight="14.4" x14ac:dyDescent="0.3"/>
  <cols>
    <col min="1" max="1" width="12" customWidth="1"/>
    <col min="2" max="2" width="45" customWidth="1"/>
    <col min="3" max="3" width="13" customWidth="1"/>
    <col min="4" max="4" width="8" customWidth="1"/>
    <col min="5" max="5" width="38" customWidth="1"/>
    <col min="6" max="7" width="10" customWidth="1"/>
    <col min="8" max="8" width="22" customWidth="1"/>
  </cols>
  <sheetData>
    <row r="1" spans="1:8" ht="15.6" x14ac:dyDescent="0.3">
      <c r="A1" s="25" t="s">
        <v>97</v>
      </c>
      <c r="B1" s="25"/>
      <c r="C1" s="25"/>
      <c r="D1" s="25"/>
      <c r="E1" s="25"/>
      <c r="F1" s="25"/>
      <c r="G1" s="25"/>
      <c r="H1" s="25"/>
    </row>
    <row r="2" spans="1:8" ht="15" customHeight="1" x14ac:dyDescent="0.3">
      <c r="A2" s="26" t="s">
        <v>98</v>
      </c>
      <c r="B2" s="27">
        <v>21761</v>
      </c>
      <c r="C2" s="27"/>
      <c r="D2" s="27"/>
      <c r="E2" s="27"/>
      <c r="F2" s="27"/>
      <c r="G2" s="27"/>
      <c r="H2" s="27"/>
    </row>
    <row r="3" spans="1:8" ht="15" customHeight="1" x14ac:dyDescent="0.3">
      <c r="A3" s="26" t="s">
        <v>99</v>
      </c>
      <c r="B3" s="27" t="s">
        <v>100</v>
      </c>
      <c r="C3" s="27"/>
      <c r="D3" s="27"/>
      <c r="E3" s="27"/>
      <c r="F3" s="27"/>
      <c r="G3" s="27"/>
      <c r="H3" s="27"/>
    </row>
    <row r="4" spans="1:8" ht="15" customHeight="1" x14ac:dyDescent="0.3">
      <c r="A4" s="26" t="s">
        <v>101</v>
      </c>
      <c r="B4" s="27" t="s">
        <v>102</v>
      </c>
      <c r="C4" s="27"/>
      <c r="D4" s="27"/>
      <c r="E4" s="27"/>
      <c r="F4" s="27"/>
      <c r="G4" s="27"/>
      <c r="H4" s="27"/>
    </row>
    <row r="5" spans="1:8" ht="15" customHeight="1" x14ac:dyDescent="0.3">
      <c r="A5" s="26" t="s">
        <v>103</v>
      </c>
      <c r="B5" s="27" t="s">
        <v>104</v>
      </c>
      <c r="C5" s="27"/>
      <c r="D5" s="27"/>
      <c r="E5" s="27"/>
      <c r="F5" s="27"/>
      <c r="G5" s="27"/>
      <c r="H5" s="27"/>
    </row>
    <row r="6" spans="1:8" ht="15" customHeight="1" x14ac:dyDescent="0.3">
      <c r="A6" s="26" t="s">
        <v>105</v>
      </c>
      <c r="B6" s="27" t="s">
        <v>106</v>
      </c>
      <c r="C6" s="27"/>
      <c r="D6" s="27"/>
      <c r="E6" s="27"/>
      <c r="F6" s="27"/>
      <c r="G6" s="27"/>
      <c r="H6" s="27"/>
    </row>
    <row r="7" spans="1:8" ht="15" customHeight="1" x14ac:dyDescent="0.3">
      <c r="A7" s="26" t="s">
        <v>107</v>
      </c>
      <c r="B7" s="27" t="s">
        <v>108</v>
      </c>
      <c r="C7" s="27"/>
      <c r="D7" s="27"/>
      <c r="E7" s="27"/>
      <c r="F7" s="27"/>
      <c r="G7" s="27"/>
      <c r="H7" s="27"/>
    </row>
    <row r="9" spans="1:8" ht="15.75" customHeight="1" thickBot="1" x14ac:dyDescent="0.35">
      <c r="A9" s="28" t="s">
        <v>109</v>
      </c>
      <c r="B9" s="28"/>
      <c r="C9" s="28"/>
    </row>
    <row r="10" spans="1:8" ht="15" thickBot="1" x14ac:dyDescent="0.35">
      <c r="A10" s="29" t="s">
        <v>110</v>
      </c>
      <c r="B10" s="29" t="s">
        <v>111</v>
      </c>
      <c r="C10" s="29" t="s">
        <v>112</v>
      </c>
    </row>
    <row r="11" spans="1:8" x14ac:dyDescent="0.3">
      <c r="A11" s="30" t="s">
        <v>113</v>
      </c>
      <c r="B11" s="31">
        <v>88</v>
      </c>
      <c r="C11" s="31" t="s">
        <v>114</v>
      </c>
    </row>
    <row r="12" spans="1:8" ht="13.5" customHeight="1" x14ac:dyDescent="0.3">
      <c r="A12" s="32" t="s">
        <v>115</v>
      </c>
      <c r="B12" s="33">
        <v>19</v>
      </c>
      <c r="C12" s="33" t="s">
        <v>116</v>
      </c>
    </row>
    <row r="13" spans="1:8" ht="13.5" customHeight="1" x14ac:dyDescent="0.3">
      <c r="A13" s="34" t="s">
        <v>117</v>
      </c>
      <c r="B13" s="35">
        <v>0</v>
      </c>
      <c r="C13" s="35" t="s">
        <v>118</v>
      </c>
    </row>
    <row r="14" spans="1:8" ht="13.5" customHeight="1" x14ac:dyDescent="0.3">
      <c r="A14" s="36" t="s">
        <v>119</v>
      </c>
      <c r="B14" s="37">
        <v>0</v>
      </c>
      <c r="C14" s="37" t="s">
        <v>118</v>
      </c>
    </row>
    <row r="15" spans="1:8" x14ac:dyDescent="0.3">
      <c r="A15" s="36" t="s">
        <v>120</v>
      </c>
      <c r="B15" s="37">
        <v>0</v>
      </c>
      <c r="C15" s="37" t="s">
        <v>118</v>
      </c>
    </row>
    <row r="16" spans="1:8" ht="27" thickBot="1" x14ac:dyDescent="0.35">
      <c r="A16" s="38" t="s">
        <v>121</v>
      </c>
      <c r="B16" s="39">
        <v>0</v>
      </c>
      <c r="C16" s="39" t="s">
        <v>118</v>
      </c>
    </row>
    <row r="17" spans="1:8" ht="15" customHeight="1" thickBot="1" x14ac:dyDescent="0.35">
      <c r="A17" s="40" t="s">
        <v>122</v>
      </c>
      <c r="B17" s="40">
        <v>107</v>
      </c>
      <c r="C17" s="40" t="s">
        <v>123</v>
      </c>
    </row>
    <row r="19" spans="1:8" ht="27" thickBot="1" x14ac:dyDescent="0.35">
      <c r="A19" s="41" t="s">
        <v>124</v>
      </c>
      <c r="B19" s="41" t="s">
        <v>125</v>
      </c>
      <c r="C19" s="41" t="s">
        <v>110</v>
      </c>
      <c r="D19" s="41" t="s">
        <v>126</v>
      </c>
      <c r="E19" s="41" t="s">
        <v>127</v>
      </c>
      <c r="F19" s="41" t="s">
        <v>128</v>
      </c>
      <c r="G19" s="41" t="s">
        <v>129</v>
      </c>
      <c r="H19" s="41" t="s">
        <v>130</v>
      </c>
    </row>
    <row r="20" spans="1:8" ht="26.4" x14ac:dyDescent="0.3">
      <c r="A20" s="42" t="s">
        <v>131</v>
      </c>
      <c r="B20" s="43" t="s">
        <v>132</v>
      </c>
      <c r="C20" s="44" t="s">
        <v>113</v>
      </c>
      <c r="D20" s="42">
        <v>12</v>
      </c>
      <c r="E20" s="43" t="s">
        <v>133</v>
      </c>
      <c r="F20" s="45">
        <v>30</v>
      </c>
      <c r="G20" s="46">
        <f t="shared" ref="G20:G32" si="0">D20*F20/60/8</f>
        <v>0.75</v>
      </c>
      <c r="H20" s="47" t="s">
        <v>134</v>
      </c>
    </row>
    <row r="21" spans="1:8" ht="26.4" x14ac:dyDescent="0.3">
      <c r="A21" s="42" t="s">
        <v>135</v>
      </c>
      <c r="B21" s="43" t="s">
        <v>136</v>
      </c>
      <c r="C21" s="44" t="s">
        <v>113</v>
      </c>
      <c r="D21" s="42">
        <v>46</v>
      </c>
      <c r="E21" s="43" t="s">
        <v>137</v>
      </c>
      <c r="F21" s="45">
        <v>20</v>
      </c>
      <c r="G21" s="46">
        <f t="shared" si="0"/>
        <v>1.9166666666666667</v>
      </c>
      <c r="H21" s="47" t="s">
        <v>134</v>
      </c>
    </row>
    <row r="22" spans="1:8" ht="26.4" x14ac:dyDescent="0.3">
      <c r="A22" s="42" t="s">
        <v>138</v>
      </c>
      <c r="B22" s="43" t="s">
        <v>139</v>
      </c>
      <c r="C22" s="44" t="s">
        <v>113</v>
      </c>
      <c r="D22" s="42">
        <v>7</v>
      </c>
      <c r="E22" s="43" t="s">
        <v>140</v>
      </c>
      <c r="F22" s="45">
        <v>30</v>
      </c>
      <c r="G22" s="46">
        <f t="shared" si="0"/>
        <v>0.4375</v>
      </c>
      <c r="H22" s="47" t="s">
        <v>134</v>
      </c>
    </row>
    <row r="23" spans="1:8" ht="26.4" x14ac:dyDescent="0.3">
      <c r="A23" s="42" t="s">
        <v>141</v>
      </c>
      <c r="B23" s="43" t="s">
        <v>142</v>
      </c>
      <c r="C23" s="44" t="s">
        <v>113</v>
      </c>
      <c r="D23" s="42">
        <v>2</v>
      </c>
      <c r="E23" s="43" t="s">
        <v>143</v>
      </c>
      <c r="F23" s="45">
        <v>20</v>
      </c>
      <c r="G23" s="46">
        <f t="shared" si="0"/>
        <v>8.3333333333333329E-2</v>
      </c>
      <c r="H23" s="47" t="s">
        <v>144</v>
      </c>
    </row>
    <row r="24" spans="1:8" ht="26.4" x14ac:dyDescent="0.3">
      <c r="A24" s="42" t="s">
        <v>145</v>
      </c>
      <c r="B24" s="43" t="s">
        <v>146</v>
      </c>
      <c r="C24" s="44" t="s">
        <v>113</v>
      </c>
      <c r="D24" s="42">
        <v>1</v>
      </c>
      <c r="E24" s="43" t="s">
        <v>147</v>
      </c>
      <c r="F24" s="45">
        <v>30</v>
      </c>
      <c r="G24" s="46">
        <f t="shared" si="0"/>
        <v>6.25E-2</v>
      </c>
      <c r="H24" s="47" t="s">
        <v>144</v>
      </c>
    </row>
    <row r="25" spans="1:8" ht="26.4" x14ac:dyDescent="0.3">
      <c r="A25" s="42" t="s">
        <v>148</v>
      </c>
      <c r="B25" s="43" t="s">
        <v>149</v>
      </c>
      <c r="C25" s="44" t="s">
        <v>113</v>
      </c>
      <c r="D25" s="42">
        <v>17</v>
      </c>
      <c r="E25" s="43" t="s">
        <v>150</v>
      </c>
      <c r="F25" s="45">
        <v>25</v>
      </c>
      <c r="G25" s="46">
        <f t="shared" si="0"/>
        <v>0.88541666666666663</v>
      </c>
      <c r="H25" s="47" t="s">
        <v>144</v>
      </c>
    </row>
    <row r="26" spans="1:8" ht="26.4" x14ac:dyDescent="0.3">
      <c r="A26" s="42" t="s">
        <v>151</v>
      </c>
      <c r="B26" s="43" t="s">
        <v>152</v>
      </c>
      <c r="C26" s="44" t="s">
        <v>113</v>
      </c>
      <c r="D26" s="42">
        <v>1</v>
      </c>
      <c r="E26" s="43" t="s">
        <v>153</v>
      </c>
      <c r="F26" s="45">
        <v>20</v>
      </c>
      <c r="G26" s="46">
        <f t="shared" si="0"/>
        <v>4.1666666666666664E-2</v>
      </c>
      <c r="H26" s="47" t="s">
        <v>144</v>
      </c>
    </row>
    <row r="27" spans="1:8" ht="26.4" x14ac:dyDescent="0.3">
      <c r="A27" s="42" t="s">
        <v>154</v>
      </c>
      <c r="B27" s="43" t="s">
        <v>155</v>
      </c>
      <c r="C27" s="44" t="s">
        <v>113</v>
      </c>
      <c r="D27" s="42">
        <v>1</v>
      </c>
      <c r="E27" s="43" t="s">
        <v>156</v>
      </c>
      <c r="F27" s="45">
        <v>20</v>
      </c>
      <c r="G27" s="46">
        <f t="shared" si="0"/>
        <v>4.1666666666666664E-2</v>
      </c>
      <c r="H27" s="47" t="s">
        <v>144</v>
      </c>
    </row>
    <row r="28" spans="1:8" ht="26.4" x14ac:dyDescent="0.3">
      <c r="A28" s="42" t="s">
        <v>157</v>
      </c>
      <c r="B28" s="43" t="s">
        <v>158</v>
      </c>
      <c r="C28" s="48" t="s">
        <v>115</v>
      </c>
      <c r="D28" s="42">
        <v>9</v>
      </c>
      <c r="E28" s="43" t="s">
        <v>159</v>
      </c>
      <c r="F28" s="45">
        <v>45</v>
      </c>
      <c r="G28" s="46">
        <f t="shared" si="0"/>
        <v>0.84375</v>
      </c>
      <c r="H28" s="47" t="s">
        <v>160</v>
      </c>
    </row>
    <row r="29" spans="1:8" ht="26.4" x14ac:dyDescent="0.3">
      <c r="A29" s="42" t="s">
        <v>161</v>
      </c>
      <c r="B29" s="43" t="s">
        <v>162</v>
      </c>
      <c r="C29" s="48" t="s">
        <v>115</v>
      </c>
      <c r="D29" s="42">
        <v>1</v>
      </c>
      <c r="E29" s="43" t="s">
        <v>163</v>
      </c>
      <c r="F29" s="45">
        <v>30</v>
      </c>
      <c r="G29" s="46">
        <f t="shared" si="0"/>
        <v>6.25E-2</v>
      </c>
      <c r="H29" s="47" t="s">
        <v>160</v>
      </c>
    </row>
    <row r="30" spans="1:8" ht="26.4" x14ac:dyDescent="0.3">
      <c r="A30" s="42" t="s">
        <v>164</v>
      </c>
      <c r="B30" s="43" t="s">
        <v>165</v>
      </c>
      <c r="C30" s="48" t="s">
        <v>115</v>
      </c>
      <c r="D30" s="42">
        <v>2</v>
      </c>
      <c r="E30" s="43" t="s">
        <v>166</v>
      </c>
      <c r="F30" s="45">
        <v>20</v>
      </c>
      <c r="G30" s="46">
        <f t="shared" si="0"/>
        <v>8.3333333333333329E-2</v>
      </c>
      <c r="H30" s="47" t="s">
        <v>160</v>
      </c>
    </row>
    <row r="31" spans="1:8" ht="26.4" x14ac:dyDescent="0.3">
      <c r="A31" s="42" t="s">
        <v>167</v>
      </c>
      <c r="B31" s="43" t="s">
        <v>168</v>
      </c>
      <c r="C31" s="48" t="s">
        <v>115</v>
      </c>
      <c r="D31" s="42">
        <v>5</v>
      </c>
      <c r="E31" s="43" t="s">
        <v>169</v>
      </c>
      <c r="F31" s="45">
        <v>15</v>
      </c>
      <c r="G31" s="46">
        <f t="shared" si="0"/>
        <v>0.15625</v>
      </c>
      <c r="H31" s="47" t="s">
        <v>170</v>
      </c>
    </row>
    <row r="32" spans="1:8" ht="27" thickBot="1" x14ac:dyDescent="0.35">
      <c r="A32" s="42" t="s">
        <v>171</v>
      </c>
      <c r="B32" s="43" t="s">
        <v>172</v>
      </c>
      <c r="C32" s="48" t="s">
        <v>115</v>
      </c>
      <c r="D32" s="42">
        <v>2</v>
      </c>
      <c r="E32" s="43" t="s">
        <v>173</v>
      </c>
      <c r="F32" s="45">
        <v>30</v>
      </c>
      <c r="G32" s="46">
        <f t="shared" si="0"/>
        <v>0.125</v>
      </c>
      <c r="H32" s="47" t="s">
        <v>174</v>
      </c>
    </row>
    <row r="33" spans="1:8" ht="15.75" customHeight="1" thickBot="1" x14ac:dyDescent="0.35">
      <c r="A33" s="40" t="s">
        <v>122</v>
      </c>
      <c r="B33" s="49"/>
      <c r="C33" s="49"/>
      <c r="D33" s="40">
        <f>SUM(D20:D32)</f>
        <v>106</v>
      </c>
      <c r="E33" s="49"/>
      <c r="F33" s="49"/>
      <c r="G33" s="50">
        <f>SUM(G20:G32)</f>
        <v>5.4895833333333339</v>
      </c>
      <c r="H33" s="49"/>
    </row>
  </sheetData>
  <mergeCells count="8">
    <mergeCell ref="B7:H7"/>
    <mergeCell ref="A9:C9"/>
    <mergeCell ref="A1:H1"/>
    <mergeCell ref="B2:H2"/>
    <mergeCell ref="B3:H3"/>
    <mergeCell ref="B4:H4"/>
    <mergeCell ref="B5:H5"/>
    <mergeCell ref="B6:H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F9383-EE3C-486C-B358-6FBD422827CC}">
  <dimension ref="A1:H24"/>
  <sheetViews>
    <sheetView workbookViewId="0">
      <selection activeCell="E27" sqref="E27"/>
    </sheetView>
  </sheetViews>
  <sheetFormatPr defaultColWidth="8.6640625" defaultRowHeight="14.4" x14ac:dyDescent="0.3"/>
  <cols>
    <col min="1" max="1" width="12" customWidth="1"/>
    <col min="2" max="2" width="45" customWidth="1"/>
    <col min="3" max="3" width="13" customWidth="1"/>
    <col min="4" max="4" width="8" customWidth="1"/>
    <col min="5" max="5" width="38" customWidth="1"/>
    <col min="6" max="7" width="10" customWidth="1"/>
    <col min="8" max="8" width="22" customWidth="1"/>
  </cols>
  <sheetData>
    <row r="1" spans="1:8" ht="15.6" x14ac:dyDescent="0.3">
      <c r="A1" s="25" t="s">
        <v>175</v>
      </c>
      <c r="B1" s="25"/>
      <c r="C1" s="25"/>
      <c r="D1" s="25"/>
      <c r="E1" s="25"/>
      <c r="F1" s="25"/>
      <c r="G1" s="25"/>
      <c r="H1" s="25"/>
    </row>
    <row r="2" spans="1:8" ht="15" customHeight="1" x14ac:dyDescent="0.3">
      <c r="A2" s="26" t="s">
        <v>98</v>
      </c>
      <c r="B2" s="27">
        <v>21769</v>
      </c>
      <c r="C2" s="27"/>
      <c r="D2" s="27"/>
      <c r="E2" s="27"/>
      <c r="F2" s="27"/>
      <c r="G2" s="27"/>
      <c r="H2" s="27"/>
    </row>
    <row r="3" spans="1:8" ht="15" customHeight="1" x14ac:dyDescent="0.3">
      <c r="A3" s="26" t="s">
        <v>99</v>
      </c>
      <c r="B3" s="27" t="s">
        <v>100</v>
      </c>
      <c r="C3" s="27"/>
      <c r="D3" s="27"/>
      <c r="E3" s="27"/>
      <c r="F3" s="27"/>
      <c r="G3" s="27"/>
      <c r="H3" s="27"/>
    </row>
    <row r="4" spans="1:8" ht="15" customHeight="1" x14ac:dyDescent="0.3">
      <c r="A4" s="26" t="s">
        <v>101</v>
      </c>
      <c r="B4" s="27" t="s">
        <v>176</v>
      </c>
      <c r="C4" s="27"/>
      <c r="D4" s="27"/>
      <c r="E4" s="27"/>
      <c r="F4" s="27"/>
      <c r="G4" s="27"/>
      <c r="H4" s="27"/>
    </row>
    <row r="5" spans="1:8" ht="15" customHeight="1" x14ac:dyDescent="0.3">
      <c r="A5" s="26" t="s">
        <v>103</v>
      </c>
      <c r="B5" s="27" t="s">
        <v>177</v>
      </c>
      <c r="C5" s="27"/>
      <c r="D5" s="27"/>
      <c r="E5" s="27"/>
      <c r="F5" s="27"/>
      <c r="G5" s="27"/>
      <c r="H5" s="27"/>
    </row>
    <row r="6" spans="1:8" ht="15" customHeight="1" x14ac:dyDescent="0.3">
      <c r="A6" s="26" t="s">
        <v>105</v>
      </c>
      <c r="B6" s="27" t="s">
        <v>178</v>
      </c>
      <c r="C6" s="27"/>
      <c r="D6" s="27"/>
      <c r="E6" s="27"/>
      <c r="F6" s="27"/>
      <c r="G6" s="27"/>
      <c r="H6" s="27"/>
    </row>
    <row r="7" spans="1:8" ht="15" customHeight="1" x14ac:dyDescent="0.3">
      <c r="A7" s="26" t="s">
        <v>107</v>
      </c>
      <c r="B7" s="27" t="s">
        <v>179</v>
      </c>
      <c r="C7" s="27"/>
      <c r="D7" s="27"/>
      <c r="E7" s="27"/>
      <c r="F7" s="27"/>
      <c r="G7" s="27"/>
      <c r="H7" s="27"/>
    </row>
    <row r="9" spans="1:8" ht="15.75" customHeight="1" thickBot="1" x14ac:dyDescent="0.35">
      <c r="A9" s="28" t="s">
        <v>109</v>
      </c>
      <c r="B9" s="28"/>
      <c r="C9" s="28"/>
    </row>
    <row r="10" spans="1:8" ht="15" thickBot="1" x14ac:dyDescent="0.35">
      <c r="A10" s="29" t="s">
        <v>110</v>
      </c>
      <c r="B10" s="29" t="s">
        <v>111</v>
      </c>
      <c r="C10" s="29" t="s">
        <v>112</v>
      </c>
    </row>
    <row r="11" spans="1:8" x14ac:dyDescent="0.3">
      <c r="A11" s="30" t="s">
        <v>113</v>
      </c>
      <c r="B11" s="31">
        <v>7</v>
      </c>
      <c r="C11" s="31" t="s">
        <v>180</v>
      </c>
    </row>
    <row r="12" spans="1:8" ht="13.5" customHeight="1" x14ac:dyDescent="0.3">
      <c r="A12" s="32" t="s">
        <v>115</v>
      </c>
      <c r="B12" s="33">
        <v>5</v>
      </c>
      <c r="C12" s="33" t="s">
        <v>181</v>
      </c>
    </row>
    <row r="13" spans="1:8" ht="13.5" customHeight="1" x14ac:dyDescent="0.3">
      <c r="A13" s="34" t="s">
        <v>117</v>
      </c>
      <c r="B13" s="35">
        <v>0</v>
      </c>
      <c r="C13" s="35" t="s">
        <v>118</v>
      </c>
    </row>
    <row r="14" spans="1:8" ht="13.5" customHeight="1" x14ac:dyDescent="0.3">
      <c r="A14" s="36" t="s">
        <v>119</v>
      </c>
      <c r="B14" s="37">
        <v>0</v>
      </c>
      <c r="C14" s="37" t="s">
        <v>118</v>
      </c>
    </row>
    <row r="15" spans="1:8" x14ac:dyDescent="0.3">
      <c r="A15" s="36" t="s">
        <v>120</v>
      </c>
      <c r="B15" s="37">
        <v>0</v>
      </c>
      <c r="C15" s="37" t="s">
        <v>118</v>
      </c>
    </row>
    <row r="16" spans="1:8" ht="27" thickBot="1" x14ac:dyDescent="0.35">
      <c r="A16" s="38" t="s">
        <v>121</v>
      </c>
      <c r="B16" s="39">
        <v>0</v>
      </c>
      <c r="C16" s="39" t="s">
        <v>118</v>
      </c>
    </row>
    <row r="17" spans="1:8" ht="15" customHeight="1" thickBot="1" x14ac:dyDescent="0.35">
      <c r="A17" s="40" t="s">
        <v>122</v>
      </c>
      <c r="B17" s="40">
        <v>12</v>
      </c>
      <c r="C17" s="40" t="s">
        <v>123</v>
      </c>
    </row>
    <row r="19" spans="1:8" ht="27" thickBot="1" x14ac:dyDescent="0.35">
      <c r="A19" s="41" t="s">
        <v>124</v>
      </c>
      <c r="B19" s="41" t="s">
        <v>125</v>
      </c>
      <c r="C19" s="41" t="s">
        <v>110</v>
      </c>
      <c r="D19" s="41" t="s">
        <v>126</v>
      </c>
      <c r="E19" s="41" t="s">
        <v>127</v>
      </c>
      <c r="F19" s="41" t="s">
        <v>128</v>
      </c>
      <c r="G19" s="41" t="s">
        <v>129</v>
      </c>
      <c r="H19" s="41" t="s">
        <v>130</v>
      </c>
    </row>
    <row r="20" spans="1:8" ht="26.4" x14ac:dyDescent="0.3">
      <c r="A20" s="42" t="s">
        <v>182</v>
      </c>
      <c r="B20" s="43" t="s">
        <v>183</v>
      </c>
      <c r="C20" s="44" t="s">
        <v>113</v>
      </c>
      <c r="D20" s="42">
        <v>4</v>
      </c>
      <c r="E20" s="43" t="s">
        <v>184</v>
      </c>
      <c r="F20" s="45">
        <v>20</v>
      </c>
      <c r="G20" s="46">
        <f>D20*F20/60/8</f>
        <v>0.16666666666666666</v>
      </c>
      <c r="H20" s="47" t="s">
        <v>134</v>
      </c>
    </row>
    <row r="21" spans="1:8" ht="26.4" x14ac:dyDescent="0.3">
      <c r="A21" s="42" t="s">
        <v>185</v>
      </c>
      <c r="B21" s="43" t="s">
        <v>186</v>
      </c>
      <c r="C21" s="44" t="s">
        <v>113</v>
      </c>
      <c r="D21" s="42">
        <v>3</v>
      </c>
      <c r="E21" s="43" t="s">
        <v>187</v>
      </c>
      <c r="F21" s="45">
        <v>30</v>
      </c>
      <c r="G21" s="46">
        <f>D21*F21/60/8</f>
        <v>0.1875</v>
      </c>
      <c r="H21" s="47" t="s">
        <v>134</v>
      </c>
    </row>
    <row r="22" spans="1:8" ht="26.4" x14ac:dyDescent="0.3">
      <c r="A22" s="42" t="s">
        <v>188</v>
      </c>
      <c r="B22" s="43" t="s">
        <v>189</v>
      </c>
      <c r="C22" s="48" t="s">
        <v>115</v>
      </c>
      <c r="D22" s="42">
        <v>1</v>
      </c>
      <c r="E22" s="43" t="s">
        <v>190</v>
      </c>
      <c r="F22" s="45">
        <v>15</v>
      </c>
      <c r="G22" s="46">
        <f>D22*F22/60/8</f>
        <v>3.125E-2</v>
      </c>
      <c r="H22" s="47" t="s">
        <v>170</v>
      </c>
    </row>
    <row r="23" spans="1:8" ht="27" thickBot="1" x14ac:dyDescent="0.35">
      <c r="A23" s="42" t="s">
        <v>191</v>
      </c>
      <c r="B23" s="43" t="s">
        <v>192</v>
      </c>
      <c r="C23" s="48" t="s">
        <v>115</v>
      </c>
      <c r="D23" s="42">
        <v>4</v>
      </c>
      <c r="E23" s="43" t="s">
        <v>193</v>
      </c>
      <c r="F23" s="45">
        <v>20</v>
      </c>
      <c r="G23" s="46">
        <f>D23*F23/60/8</f>
        <v>0.16666666666666666</v>
      </c>
      <c r="H23" s="47" t="s">
        <v>174</v>
      </c>
    </row>
    <row r="24" spans="1:8" ht="15.75" customHeight="1" thickBot="1" x14ac:dyDescent="0.35">
      <c r="A24" s="40" t="s">
        <v>122</v>
      </c>
      <c r="B24" s="49"/>
      <c r="C24" s="49"/>
      <c r="D24" s="40">
        <f>SUM(D20:D23)</f>
        <v>12</v>
      </c>
      <c r="E24" s="49"/>
      <c r="F24" s="49"/>
      <c r="G24" s="50">
        <f>SUM(G20:G23)</f>
        <v>0.55208333333333326</v>
      </c>
      <c r="H24" s="49"/>
    </row>
  </sheetData>
  <mergeCells count="8">
    <mergeCell ref="B7:H7"/>
    <mergeCell ref="A9:C9"/>
    <mergeCell ref="A1:H1"/>
    <mergeCell ref="B2:H2"/>
    <mergeCell ref="B3:H3"/>
    <mergeCell ref="B4:H4"/>
    <mergeCell ref="B5:H5"/>
    <mergeCell ref="B6:H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PTTDigital_Manday</vt:lpstr>
      <vt:lpstr>PSM-Platform (API)</vt:lpstr>
      <vt:lpstr>PSM-Platform (Frontend)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Suwit Klangchawiang</cp:lastModifiedBy>
  <cp:revision>0</cp:revision>
  <dcterms:created xsi:type="dcterms:W3CDTF">2026-06-24T04:19:06Z</dcterms:created>
  <dcterms:modified xsi:type="dcterms:W3CDTF">2026-06-24T04:47:06Z</dcterms:modified>
  <dc:language>en-US</dc:language>
</cp:coreProperties>
</file>